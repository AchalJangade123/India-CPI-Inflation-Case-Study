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7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harts/chartEx8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9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Ex10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Ex11.xml" ContentType="application/vnd.ms-office.chartex+xml"/>
  <Override PartName="/xl/charts/style25.xml" ContentType="application/vnd.ms-office.chartstyle+xml"/>
  <Override PartName="/xl/charts/colors25.xml" ContentType="application/vnd.ms-office.chartcolorstyle+xml"/>
  <Override PartName="/xl/charts/chartEx12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1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1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1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1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1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2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al\Downloads\"/>
    </mc:Choice>
  </mc:AlternateContent>
  <xr:revisionPtr revIDLastSave="0" documentId="8_{86CC3C2A-0651-4A13-B2C4-06DBAF7F7312}" xr6:coauthVersionLast="47" xr6:coauthVersionMax="47" xr10:uidLastSave="{00000000-0000-0000-0000-000000000000}"/>
  <bookViews>
    <workbookView xWindow="-110" yWindow="-110" windowWidth="19420" windowHeight="10300" tabRatio="806" xr2:uid="{BFDB32BA-9C88-48A0-9B31-639809B36168}"/>
  </bookViews>
  <sheets>
    <sheet name="India CPI Inflation Case Study" sheetId="1" r:id="rId1"/>
    <sheet name="Question-1" sheetId="2" r:id="rId2"/>
    <sheet name="Question-2" sheetId="3" r:id="rId3"/>
    <sheet name="Question-3(a)" sheetId="5" r:id="rId4"/>
    <sheet name="Question-3(b)" sheetId="6" r:id="rId5"/>
    <sheet name="Question-4" sheetId="7" r:id="rId6"/>
    <sheet name="Question-5 Data" sheetId="8" r:id="rId7"/>
    <sheet name="Question-5" sheetId="9" r:id="rId8"/>
    <sheet name="DashBoard" sheetId="4" r:id="rId9"/>
  </sheets>
  <definedNames>
    <definedName name="_xlnm._FilterDatabase" localSheetId="0" hidden="1">'India CPI Inflation Case Study'!$A$1:$BK$376</definedName>
    <definedName name="_xlchart.v1.0" hidden="1">'Question-3(a)'!$H$24:$H$35</definedName>
    <definedName name="_xlchart.v1.1" hidden="1">'Question-3(a)'!$I$23</definedName>
    <definedName name="_xlchart.v1.10" hidden="1">'Question-3(b)'!$E$61:$Q$61</definedName>
    <definedName name="_xlchart.v1.11" hidden="1">'Question-3(b)'!$E$17:$Q$17</definedName>
    <definedName name="_xlchart.v1.12" hidden="1">'Question-3(b)'!$E$30:$Q$30</definedName>
    <definedName name="_xlchart.v1.13" hidden="1">'Question-3(b)'!$E$79:$Q$79</definedName>
    <definedName name="_xlchart.v1.14" hidden="1">'Question-3(b)'!$E$92:$Q$92</definedName>
    <definedName name="_xlchart.v1.15" hidden="1">'Question-3(a)'!$H$43:$H$54</definedName>
    <definedName name="_xlchart.v1.16" hidden="1">'Question-3(a)'!$I$42</definedName>
    <definedName name="_xlchart.v1.17" hidden="1">'Question-3(a)'!$I$43:$I$54</definedName>
    <definedName name="_xlchart.v1.18" hidden="1">'Question-3(a)'!$H$24:$H$35</definedName>
    <definedName name="_xlchart.v1.19" hidden="1">'Question-3(a)'!$I$23</definedName>
    <definedName name="_xlchart.v1.2" hidden="1">'Question-3(a)'!$I$24:$I$35</definedName>
    <definedName name="_xlchart.v1.20" hidden="1">'Question-3(a)'!$I$24:$I$35</definedName>
    <definedName name="_xlchart.v1.21" hidden="1">'Question-3(b)'!$E$17:$Q$17</definedName>
    <definedName name="_xlchart.v1.22" hidden="1">'Question-3(b)'!$E$30:$Q$30</definedName>
    <definedName name="_xlchart.v1.23" hidden="1">'Question-3(b)'!$E$48:$Q$48</definedName>
    <definedName name="_xlchart.v1.24" hidden="1">'Question-3(b)'!$E$61:$Q$61</definedName>
    <definedName name="_xlchart.v1.25" hidden="1">'Question-3(a)'!$H$4:$H$15</definedName>
    <definedName name="_xlchart.v1.26" hidden="1">'Question-3(a)'!$I$3</definedName>
    <definedName name="_xlchart.v1.27" hidden="1">'Question-3(a)'!$I$4:$I$15</definedName>
    <definedName name="_xlchart.v1.28" hidden="1">'Question-3(b)'!$E$79:$Q$79</definedName>
    <definedName name="_xlchart.v1.29" hidden="1">'Question-3(b)'!$E$92:$Q$92</definedName>
    <definedName name="_xlchart.v1.3" hidden="1">'Question-3(a)'!$H$43:$H$54</definedName>
    <definedName name="_xlchart.v1.4" hidden="1">'Question-3(a)'!$I$42</definedName>
    <definedName name="_xlchart.v1.5" hidden="1">'Question-3(a)'!$I$43:$I$54</definedName>
    <definedName name="_xlchart.v1.6" hidden="1">'Question-3(a)'!$H$4:$H$15</definedName>
    <definedName name="_xlchart.v1.7" hidden="1">'Question-3(a)'!$I$3</definedName>
    <definedName name="_xlchart.v1.8" hidden="1">'Question-3(a)'!$I$4:$I$15</definedName>
    <definedName name="_xlchart.v1.9" hidden="1">'Question-3(b)'!$E$48:$Q$48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03" i="9" l="1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AK100" i="9"/>
  <c r="AK99" i="9"/>
  <c r="AK98" i="9"/>
  <c r="AK97" i="9"/>
  <c r="AK96" i="9"/>
  <c r="AK95" i="9"/>
  <c r="AK94" i="9"/>
  <c r="AK93" i="9"/>
  <c r="AK92" i="9"/>
  <c r="AK91" i="9"/>
  <c r="AK90" i="9"/>
  <c r="AK89" i="9"/>
  <c r="AK88" i="9"/>
  <c r="AK87" i="9"/>
  <c r="AK86" i="9"/>
  <c r="AK85" i="9"/>
  <c r="AK84" i="9"/>
  <c r="AK83" i="9"/>
  <c r="AK82" i="9"/>
  <c r="AK81" i="9"/>
  <c r="AK80" i="9"/>
  <c r="AK79" i="9"/>
  <c r="AK78" i="9"/>
  <c r="AK77" i="9"/>
  <c r="AK76" i="9"/>
  <c r="AK75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AK65" i="9"/>
  <c r="AK64" i="9"/>
  <c r="AK63" i="9"/>
  <c r="AK62" i="9"/>
  <c r="AK61" i="9"/>
  <c r="AK60" i="9"/>
  <c r="AK59" i="9"/>
  <c r="AK58" i="9"/>
  <c r="AK57" i="9"/>
  <c r="AK56" i="9"/>
  <c r="AK55" i="9"/>
  <c r="AK54" i="9"/>
  <c r="AK53" i="9"/>
  <c r="AK52" i="9"/>
  <c r="AK51" i="9"/>
  <c r="AK50" i="9"/>
  <c r="AK49" i="9"/>
  <c r="AK48" i="9"/>
  <c r="AK47" i="9"/>
  <c r="AK46" i="9"/>
  <c r="AK45" i="9"/>
  <c r="AK44" i="9"/>
  <c r="AK43" i="9"/>
  <c r="AK42" i="9"/>
  <c r="AK41" i="9"/>
  <c r="AK40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H33" i="9"/>
  <c r="K105" i="8" l="1"/>
  <c r="I105" i="8"/>
  <c r="C105" i="8"/>
  <c r="M104" i="8"/>
  <c r="M105" i="8" s="1"/>
  <c r="L104" i="8"/>
  <c r="L105" i="8" s="1"/>
  <c r="K104" i="8"/>
  <c r="J104" i="8"/>
  <c r="J105" i="8" s="1"/>
  <c r="I104" i="8"/>
  <c r="H104" i="8"/>
  <c r="H105" i="8" s="1"/>
  <c r="G104" i="8"/>
  <c r="G105" i="8" s="1"/>
  <c r="F104" i="8"/>
  <c r="F105" i="8" s="1"/>
  <c r="E104" i="8"/>
  <c r="E105" i="8" s="1"/>
  <c r="D104" i="8"/>
  <c r="D105" i="8" s="1"/>
  <c r="C104" i="8"/>
  <c r="B104" i="8"/>
  <c r="B105" i="8" s="1"/>
  <c r="N103" i="8"/>
  <c r="N102" i="8"/>
  <c r="N101" i="8"/>
  <c r="N100" i="8"/>
  <c r="N99" i="8"/>
  <c r="N98" i="8"/>
  <c r="N97" i="8"/>
  <c r="N96" i="8"/>
  <c r="N95" i="8"/>
  <c r="N94" i="8"/>
  <c r="N93" i="8"/>
  <c r="N104" i="8" s="1"/>
  <c r="N91" i="8"/>
  <c r="F81" i="8"/>
  <c r="M80" i="8"/>
  <c r="M81" i="8" s="1"/>
  <c r="L80" i="8"/>
  <c r="L81" i="8" s="1"/>
  <c r="K80" i="8"/>
  <c r="K81" i="8" s="1"/>
  <c r="J80" i="8"/>
  <c r="J81" i="8" s="1"/>
  <c r="I80" i="8"/>
  <c r="I81" i="8" s="1"/>
  <c r="H80" i="8"/>
  <c r="H81" i="8" s="1"/>
  <c r="G80" i="8"/>
  <c r="G81" i="8" s="1"/>
  <c r="F80" i="8"/>
  <c r="E80" i="8"/>
  <c r="E81" i="8" s="1"/>
  <c r="D80" i="8"/>
  <c r="D81" i="8" s="1"/>
  <c r="C80" i="8"/>
  <c r="C81" i="8" s="1"/>
  <c r="B80" i="8"/>
  <c r="B81" i="8" s="1"/>
  <c r="N79" i="8"/>
  <c r="N78" i="8"/>
  <c r="N77" i="8"/>
  <c r="N76" i="8"/>
  <c r="N75" i="8"/>
  <c r="N74" i="8"/>
  <c r="N73" i="8"/>
  <c r="N72" i="8"/>
  <c r="N71" i="8"/>
  <c r="N70" i="8"/>
  <c r="N69" i="8"/>
  <c r="N80" i="8" s="1"/>
  <c r="N81" i="8" s="1"/>
  <c r="N67" i="8"/>
  <c r="K56" i="8"/>
  <c r="I56" i="8"/>
  <c r="H56" i="8"/>
  <c r="C56" i="8"/>
  <c r="M55" i="8"/>
  <c r="M56" i="8" s="1"/>
  <c r="L55" i="8"/>
  <c r="L56" i="8" s="1"/>
  <c r="K55" i="8"/>
  <c r="J55" i="8"/>
  <c r="J56" i="8" s="1"/>
  <c r="I55" i="8"/>
  <c r="H55" i="8"/>
  <c r="G55" i="8"/>
  <c r="G56" i="8" s="1"/>
  <c r="F55" i="8"/>
  <c r="F56" i="8" s="1"/>
  <c r="E55" i="8"/>
  <c r="E56" i="8" s="1"/>
  <c r="D55" i="8"/>
  <c r="D56" i="8" s="1"/>
  <c r="C55" i="8"/>
  <c r="B55" i="8"/>
  <c r="B56" i="8" s="1"/>
  <c r="N54" i="8"/>
  <c r="N53" i="8"/>
  <c r="N52" i="8"/>
  <c r="N51" i="8"/>
  <c r="N50" i="8"/>
  <c r="N49" i="8"/>
  <c r="N48" i="8"/>
  <c r="N47" i="8"/>
  <c r="N46" i="8"/>
  <c r="N45" i="8"/>
  <c r="N55" i="8" s="1"/>
  <c r="N44" i="8"/>
  <c r="N42" i="8"/>
  <c r="N56" i="8" s="1"/>
  <c r="M30" i="8"/>
  <c r="M31" i="8" s="1"/>
  <c r="L30" i="8"/>
  <c r="L31" i="8" s="1"/>
  <c r="K30" i="8"/>
  <c r="K31" i="8" s="1"/>
  <c r="J30" i="8"/>
  <c r="J31" i="8" s="1"/>
  <c r="I30" i="8"/>
  <c r="I31" i="8" s="1"/>
  <c r="H30" i="8"/>
  <c r="H31" i="8" s="1"/>
  <c r="G30" i="8"/>
  <c r="G31" i="8" s="1"/>
  <c r="F30" i="8"/>
  <c r="F31" i="8" s="1"/>
  <c r="E30" i="8"/>
  <c r="E31" i="8" s="1"/>
  <c r="D30" i="8"/>
  <c r="D31" i="8" s="1"/>
  <c r="C30" i="8"/>
  <c r="C31" i="8" s="1"/>
  <c r="B30" i="8"/>
  <c r="B31" i="8" s="1"/>
  <c r="N29" i="8"/>
  <c r="N28" i="8"/>
  <c r="N27" i="8"/>
  <c r="N26" i="8"/>
  <c r="N25" i="8"/>
  <c r="N24" i="8"/>
  <c r="N23" i="8"/>
  <c r="N22" i="8"/>
  <c r="N21" i="8"/>
  <c r="N20" i="8"/>
  <c r="N19" i="8"/>
  <c r="N17" i="8"/>
  <c r="N105" i="8" l="1"/>
  <c r="N30" i="8"/>
  <c r="N31" i="8" s="1"/>
  <c r="Q100" i="7" l="1"/>
  <c r="P100" i="7"/>
  <c r="O100" i="7"/>
  <c r="Q99" i="7"/>
  <c r="P99" i="7"/>
  <c r="O99" i="7"/>
  <c r="Q98" i="7"/>
  <c r="P98" i="7"/>
  <c r="O98" i="7"/>
  <c r="Q97" i="7"/>
  <c r="P97" i="7"/>
  <c r="O97" i="7"/>
  <c r="Q96" i="7"/>
  <c r="P96" i="7"/>
  <c r="O96" i="7"/>
  <c r="Q95" i="7"/>
  <c r="P95" i="7"/>
  <c r="O95" i="7"/>
  <c r="Q83" i="7"/>
  <c r="P83" i="7"/>
  <c r="O83" i="7"/>
  <c r="Q82" i="7"/>
  <c r="P82" i="7"/>
  <c r="O82" i="7"/>
  <c r="Q81" i="7"/>
  <c r="P81" i="7"/>
  <c r="O81" i="7"/>
  <c r="Q80" i="7"/>
  <c r="P80" i="7"/>
  <c r="O80" i="7"/>
  <c r="Q79" i="7"/>
  <c r="P79" i="7"/>
  <c r="O79" i="7"/>
  <c r="Q78" i="7"/>
  <c r="P78" i="7"/>
  <c r="O78" i="7"/>
  <c r="Q65" i="7"/>
  <c r="P65" i="7"/>
  <c r="O65" i="7"/>
  <c r="Q64" i="7"/>
  <c r="P64" i="7"/>
  <c r="O64" i="7"/>
  <c r="Q63" i="7"/>
  <c r="P63" i="7"/>
  <c r="O63" i="7"/>
  <c r="Q62" i="7"/>
  <c r="P62" i="7"/>
  <c r="O62" i="7"/>
  <c r="Q61" i="7"/>
  <c r="P61" i="7"/>
  <c r="O61" i="7"/>
  <c r="Q60" i="7"/>
  <c r="P60" i="7"/>
  <c r="O60" i="7"/>
  <c r="Q46" i="7"/>
  <c r="P46" i="7"/>
  <c r="O46" i="7"/>
  <c r="Q45" i="7"/>
  <c r="P45" i="7"/>
  <c r="O45" i="7"/>
  <c r="Q44" i="7"/>
  <c r="P44" i="7"/>
  <c r="O44" i="7"/>
  <c r="Q43" i="7"/>
  <c r="P43" i="7"/>
  <c r="O43" i="7"/>
  <c r="Q42" i="7"/>
  <c r="P42" i="7"/>
  <c r="O42" i="7"/>
  <c r="Q41" i="7"/>
  <c r="P41" i="7"/>
  <c r="O41" i="7"/>
  <c r="Q28" i="7"/>
  <c r="P28" i="7"/>
  <c r="O28" i="7"/>
  <c r="Q27" i="7"/>
  <c r="P27" i="7"/>
  <c r="O27" i="7"/>
  <c r="Q26" i="7"/>
  <c r="P26" i="7"/>
  <c r="O26" i="7"/>
  <c r="Q25" i="7"/>
  <c r="P25" i="7"/>
  <c r="O25" i="7"/>
  <c r="Q24" i="7"/>
  <c r="P24" i="7"/>
  <c r="O24" i="7"/>
  <c r="Q23" i="7"/>
  <c r="P23" i="7"/>
  <c r="O23" i="7"/>
  <c r="P5" i="7"/>
  <c r="Q5" i="7"/>
  <c r="P6" i="7"/>
  <c r="Q6" i="7"/>
  <c r="P7" i="7"/>
  <c r="Q7" i="7"/>
  <c r="P8" i="7"/>
  <c r="Q8" i="7"/>
  <c r="P9" i="7"/>
  <c r="Q9" i="7"/>
  <c r="P10" i="7"/>
  <c r="Q10" i="7"/>
  <c r="O10" i="7"/>
  <c r="O9" i="7"/>
  <c r="O8" i="7"/>
  <c r="O7" i="7"/>
  <c r="O6" i="7"/>
  <c r="O5" i="7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AE228" i="1"/>
  <c r="AE229" i="1"/>
  <c r="BH228" i="1" l="1"/>
  <c r="BK227" i="1"/>
  <c r="BH229" i="1"/>
  <c r="BH227" i="1"/>
  <c r="BG227" i="1"/>
  <c r="BI229" i="1"/>
  <c r="BG228" i="1"/>
  <c r="BG229" i="1"/>
  <c r="BK229" i="1"/>
  <c r="BJ229" i="1"/>
  <c r="BI228" i="1"/>
  <c r="BF228" i="1"/>
  <c r="BF227" i="1"/>
  <c r="BF229" i="1"/>
  <c r="BJ227" i="1"/>
  <c r="BK228" i="1"/>
  <c r="BJ228" i="1"/>
  <c r="BI227" i="1"/>
  <c r="Q91" i="6" l="1"/>
  <c r="P91" i="6"/>
  <c r="O91" i="6"/>
  <c r="N91" i="6"/>
  <c r="M91" i="6"/>
  <c r="L91" i="6"/>
  <c r="K91" i="6"/>
  <c r="J91" i="6"/>
  <c r="I91" i="6"/>
  <c r="H91" i="6"/>
  <c r="G91" i="6"/>
  <c r="F91" i="6"/>
  <c r="E91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F18" i="6"/>
  <c r="G18" i="6"/>
  <c r="H18" i="6"/>
  <c r="I18" i="6"/>
  <c r="J18" i="6"/>
  <c r="K18" i="6"/>
  <c r="L18" i="6"/>
  <c r="M18" i="6"/>
  <c r="M30" i="6" s="1"/>
  <c r="N18" i="6"/>
  <c r="O18" i="6"/>
  <c r="P18" i="6"/>
  <c r="Q18" i="6"/>
  <c r="F19" i="6"/>
  <c r="G19" i="6"/>
  <c r="H19" i="6"/>
  <c r="I19" i="6"/>
  <c r="J19" i="6"/>
  <c r="K19" i="6"/>
  <c r="L19" i="6"/>
  <c r="M19" i="6"/>
  <c r="N19" i="6"/>
  <c r="O19" i="6"/>
  <c r="P19" i="6"/>
  <c r="Q19" i="6"/>
  <c r="F20" i="6"/>
  <c r="G20" i="6"/>
  <c r="H20" i="6"/>
  <c r="I20" i="6"/>
  <c r="J20" i="6"/>
  <c r="K20" i="6"/>
  <c r="L20" i="6"/>
  <c r="M20" i="6"/>
  <c r="N20" i="6"/>
  <c r="O20" i="6"/>
  <c r="P20" i="6"/>
  <c r="Q20" i="6"/>
  <c r="F21" i="6"/>
  <c r="G21" i="6"/>
  <c r="H21" i="6"/>
  <c r="I21" i="6"/>
  <c r="J21" i="6"/>
  <c r="K21" i="6"/>
  <c r="L21" i="6"/>
  <c r="M21" i="6"/>
  <c r="N21" i="6"/>
  <c r="O21" i="6"/>
  <c r="P21" i="6"/>
  <c r="Q21" i="6"/>
  <c r="F22" i="6"/>
  <c r="G22" i="6"/>
  <c r="H22" i="6"/>
  <c r="I22" i="6"/>
  <c r="J22" i="6"/>
  <c r="K22" i="6"/>
  <c r="L22" i="6"/>
  <c r="M22" i="6"/>
  <c r="N22" i="6"/>
  <c r="O22" i="6"/>
  <c r="P22" i="6"/>
  <c r="Q22" i="6"/>
  <c r="F23" i="6"/>
  <c r="G23" i="6"/>
  <c r="H23" i="6"/>
  <c r="I23" i="6"/>
  <c r="J23" i="6"/>
  <c r="K23" i="6"/>
  <c r="L23" i="6"/>
  <c r="M23" i="6"/>
  <c r="N23" i="6"/>
  <c r="O23" i="6"/>
  <c r="P23" i="6"/>
  <c r="Q23" i="6"/>
  <c r="F24" i="6"/>
  <c r="G24" i="6"/>
  <c r="H24" i="6"/>
  <c r="I24" i="6"/>
  <c r="J24" i="6"/>
  <c r="K24" i="6"/>
  <c r="L24" i="6"/>
  <c r="M24" i="6"/>
  <c r="N24" i="6"/>
  <c r="O24" i="6"/>
  <c r="P24" i="6"/>
  <c r="Q24" i="6"/>
  <c r="F25" i="6"/>
  <c r="G25" i="6"/>
  <c r="H25" i="6"/>
  <c r="I25" i="6"/>
  <c r="J25" i="6"/>
  <c r="K25" i="6"/>
  <c r="L25" i="6"/>
  <c r="M25" i="6"/>
  <c r="N25" i="6"/>
  <c r="O25" i="6"/>
  <c r="P25" i="6"/>
  <c r="Q25" i="6"/>
  <c r="F26" i="6"/>
  <c r="G26" i="6"/>
  <c r="H26" i="6"/>
  <c r="I26" i="6"/>
  <c r="J26" i="6"/>
  <c r="K26" i="6"/>
  <c r="L26" i="6"/>
  <c r="M26" i="6"/>
  <c r="N26" i="6"/>
  <c r="O26" i="6"/>
  <c r="P26" i="6"/>
  <c r="Q26" i="6"/>
  <c r="F27" i="6"/>
  <c r="G27" i="6"/>
  <c r="H27" i="6"/>
  <c r="I27" i="6"/>
  <c r="J27" i="6"/>
  <c r="K27" i="6"/>
  <c r="L27" i="6"/>
  <c r="M27" i="6"/>
  <c r="N27" i="6"/>
  <c r="O27" i="6"/>
  <c r="P27" i="6"/>
  <c r="Q27" i="6"/>
  <c r="F28" i="6"/>
  <c r="G28" i="6"/>
  <c r="H28" i="6"/>
  <c r="I28" i="6"/>
  <c r="J28" i="6"/>
  <c r="K28" i="6"/>
  <c r="L28" i="6"/>
  <c r="M28" i="6"/>
  <c r="N28" i="6"/>
  <c r="O28" i="6"/>
  <c r="P28" i="6"/>
  <c r="Q28" i="6"/>
  <c r="F29" i="6"/>
  <c r="G29" i="6"/>
  <c r="H29" i="6"/>
  <c r="I29" i="6"/>
  <c r="J29" i="6"/>
  <c r="K29" i="6"/>
  <c r="L29" i="6"/>
  <c r="M29" i="6"/>
  <c r="N29" i="6"/>
  <c r="O29" i="6"/>
  <c r="P29" i="6"/>
  <c r="Q29" i="6"/>
  <c r="E19" i="6"/>
  <c r="E20" i="6"/>
  <c r="E21" i="6"/>
  <c r="E22" i="6"/>
  <c r="E23" i="6"/>
  <c r="E24" i="6"/>
  <c r="E25" i="6"/>
  <c r="E26" i="6"/>
  <c r="E27" i="6"/>
  <c r="E28" i="6"/>
  <c r="E29" i="6"/>
  <c r="E18" i="6"/>
  <c r="I44" i="5"/>
  <c r="I45" i="5"/>
  <c r="I46" i="5"/>
  <c r="I47" i="5"/>
  <c r="I48" i="5"/>
  <c r="I49" i="5"/>
  <c r="I50" i="5"/>
  <c r="I51" i="5"/>
  <c r="I52" i="5"/>
  <c r="I53" i="5"/>
  <c r="I54" i="5"/>
  <c r="I43" i="5"/>
  <c r="I25" i="5"/>
  <c r="I26" i="5"/>
  <c r="I27" i="5"/>
  <c r="I28" i="5"/>
  <c r="I29" i="5"/>
  <c r="I30" i="5"/>
  <c r="I31" i="5"/>
  <c r="I32" i="5"/>
  <c r="I33" i="5"/>
  <c r="I34" i="5"/>
  <c r="I35" i="5"/>
  <c r="I24" i="5"/>
  <c r="H5" i="5"/>
  <c r="H6" i="5"/>
  <c r="H7" i="5"/>
  <c r="H8" i="5"/>
  <c r="H9" i="5"/>
  <c r="H10" i="5"/>
  <c r="H11" i="5"/>
  <c r="H12" i="5"/>
  <c r="H13" i="5"/>
  <c r="H14" i="5"/>
  <c r="H15" i="5"/>
  <c r="H4" i="5"/>
  <c r="I5" i="5"/>
  <c r="I6" i="5"/>
  <c r="I7" i="5"/>
  <c r="I8" i="5"/>
  <c r="I9" i="5"/>
  <c r="I10" i="5"/>
  <c r="I11" i="5"/>
  <c r="I12" i="5"/>
  <c r="I13" i="5"/>
  <c r="I14" i="5"/>
  <c r="I15" i="5"/>
  <c r="I4" i="5"/>
  <c r="O11" i="3"/>
  <c r="O10" i="3"/>
  <c r="O9" i="3"/>
  <c r="O8" i="3"/>
  <c r="O7" i="3"/>
  <c r="O6" i="3"/>
  <c r="K5" i="3"/>
  <c r="K6" i="3"/>
  <c r="K7" i="3"/>
  <c r="K8" i="3"/>
  <c r="K9" i="3"/>
  <c r="K10" i="3"/>
  <c r="K11" i="3"/>
  <c r="K12" i="3"/>
  <c r="K13" i="3"/>
  <c r="K14" i="3"/>
  <c r="K15" i="3"/>
  <c r="K16" i="3"/>
  <c r="K4" i="3"/>
  <c r="Q6" i="2"/>
  <c r="Q7" i="2"/>
  <c r="Q8" i="2"/>
  <c r="Q9" i="2"/>
  <c r="Q10" i="2"/>
  <c r="Q5" i="2"/>
  <c r="K11" i="2"/>
  <c r="K6" i="2"/>
  <c r="K7" i="2"/>
  <c r="K8" i="2"/>
  <c r="K9" i="2"/>
  <c r="K10" i="2"/>
  <c r="K5" i="2"/>
  <c r="P11" i="2"/>
  <c r="Q11" i="2"/>
  <c r="J11" i="2"/>
  <c r="D11" i="2"/>
  <c r="E8" i="2" l="1"/>
  <c r="E5" i="2"/>
  <c r="E10" i="2"/>
  <c r="E9" i="2"/>
  <c r="E7" i="2"/>
  <c r="E6" i="2"/>
  <c r="E11" i="2" s="1"/>
  <c r="J30" i="6"/>
  <c r="L30" i="6"/>
  <c r="P30" i="6"/>
  <c r="H30" i="6"/>
  <c r="E30" i="6"/>
  <c r="I30" i="6"/>
  <c r="K30" i="6"/>
  <c r="O30" i="6"/>
  <c r="G30" i="6"/>
  <c r="Q30" i="6"/>
  <c r="N30" i="6"/>
  <c r="F30" i="6"/>
  <c r="K92" i="6"/>
  <c r="F92" i="6"/>
  <c r="N92" i="6"/>
  <c r="I92" i="6"/>
  <c r="Q92" i="6"/>
  <c r="J92" i="6"/>
  <c r="L92" i="6"/>
  <c r="E92" i="6"/>
  <c r="M92" i="6"/>
  <c r="G92" i="6"/>
  <c r="O92" i="6"/>
  <c r="H92" i="6"/>
  <c r="P92" i="6"/>
  <c r="G61" i="6"/>
  <c r="K61" i="6"/>
  <c r="I61" i="6"/>
  <c r="Q61" i="6"/>
  <c r="L61" i="6"/>
  <c r="E61" i="6"/>
  <c r="M61" i="6"/>
  <c r="F61" i="6"/>
  <c r="N61" i="6"/>
  <c r="J61" i="6"/>
  <c r="O61" i="6"/>
  <c r="H61" i="6"/>
  <c r="P61" i="6"/>
  <c r="AV3" i="1"/>
  <c r="AV4" i="1"/>
  <c r="AV6" i="1"/>
  <c r="AV7" i="1"/>
  <c r="AV9" i="1"/>
  <c r="AV10" i="1"/>
  <c r="AV12" i="1"/>
  <c r="AV13" i="1"/>
  <c r="AV15" i="1"/>
  <c r="AV16" i="1"/>
  <c r="AV18" i="1"/>
  <c r="AV19" i="1"/>
  <c r="AV21" i="1"/>
  <c r="AV22" i="1"/>
  <c r="AV24" i="1"/>
  <c r="AV25" i="1"/>
  <c r="AV27" i="1"/>
  <c r="AV28" i="1"/>
  <c r="AV30" i="1"/>
  <c r="AV31" i="1"/>
  <c r="AV33" i="1"/>
  <c r="AV34" i="1"/>
  <c r="AV36" i="1"/>
  <c r="AV37" i="1"/>
  <c r="AV39" i="1"/>
  <c r="AV40" i="1"/>
  <c r="AV42" i="1"/>
  <c r="AV43" i="1"/>
  <c r="AV45" i="1"/>
  <c r="AV46" i="1"/>
  <c r="AV48" i="1"/>
  <c r="AV49" i="1"/>
  <c r="AV51" i="1"/>
  <c r="AV52" i="1"/>
  <c r="AV54" i="1"/>
  <c r="AV55" i="1"/>
  <c r="AV57" i="1"/>
  <c r="AV58" i="1"/>
  <c r="AV60" i="1"/>
  <c r="AV61" i="1"/>
  <c r="AV63" i="1"/>
  <c r="AV64" i="1"/>
  <c r="AV66" i="1"/>
  <c r="AV67" i="1"/>
  <c r="AV69" i="1"/>
  <c r="AV70" i="1"/>
  <c r="AV72" i="1"/>
  <c r="AV73" i="1"/>
  <c r="AV75" i="1"/>
  <c r="AV76" i="1"/>
  <c r="AV78" i="1"/>
  <c r="AV79" i="1"/>
  <c r="AV81" i="1"/>
  <c r="AV82" i="1"/>
  <c r="AV84" i="1"/>
  <c r="AV85" i="1"/>
  <c r="AV87" i="1"/>
  <c r="AV88" i="1"/>
  <c r="AV90" i="1"/>
  <c r="AV91" i="1"/>
  <c r="AV93" i="1"/>
  <c r="AV94" i="1"/>
  <c r="AV96" i="1"/>
  <c r="AV97" i="1"/>
  <c r="AV99" i="1"/>
  <c r="AV100" i="1"/>
  <c r="AV102" i="1"/>
  <c r="AV103" i="1"/>
  <c r="AV105" i="1"/>
  <c r="AV106" i="1"/>
  <c r="AV108" i="1"/>
  <c r="AV109" i="1"/>
  <c r="AV111" i="1"/>
  <c r="AV112" i="1"/>
  <c r="AV114" i="1"/>
  <c r="AV115" i="1"/>
  <c r="AV117" i="1"/>
  <c r="AV118" i="1"/>
  <c r="AV120" i="1"/>
  <c r="AV121" i="1"/>
  <c r="AV123" i="1"/>
  <c r="AV124" i="1"/>
  <c r="AV126" i="1"/>
  <c r="AV127" i="1"/>
  <c r="AV129" i="1"/>
  <c r="AV130" i="1"/>
  <c r="AV132" i="1"/>
  <c r="AV133" i="1"/>
  <c r="AV135" i="1"/>
  <c r="AV136" i="1"/>
  <c r="AV138" i="1"/>
  <c r="AV139" i="1"/>
  <c r="AV141" i="1"/>
  <c r="AV142" i="1"/>
  <c r="AV144" i="1"/>
  <c r="AV145" i="1"/>
  <c r="AV147" i="1"/>
  <c r="AV148" i="1"/>
  <c r="AV150" i="1"/>
  <c r="AV151" i="1"/>
  <c r="AV153" i="1"/>
  <c r="AV154" i="1"/>
  <c r="AV156" i="1"/>
  <c r="AV157" i="1"/>
  <c r="AV159" i="1"/>
  <c r="AV160" i="1"/>
  <c r="AV162" i="1"/>
  <c r="AV163" i="1"/>
  <c r="AV165" i="1"/>
  <c r="AV166" i="1"/>
  <c r="AV168" i="1"/>
  <c r="AV169" i="1"/>
  <c r="AV171" i="1"/>
  <c r="AV172" i="1"/>
  <c r="AV174" i="1"/>
  <c r="AV175" i="1"/>
  <c r="AV177" i="1"/>
  <c r="AV178" i="1"/>
  <c r="AV180" i="1"/>
  <c r="AV181" i="1"/>
  <c r="AV183" i="1"/>
  <c r="AV184" i="1"/>
  <c r="AV186" i="1"/>
  <c r="AV187" i="1"/>
  <c r="AV189" i="1"/>
  <c r="AV190" i="1"/>
  <c r="AV192" i="1"/>
  <c r="AV193" i="1"/>
  <c r="AV195" i="1"/>
  <c r="AV196" i="1"/>
  <c r="AV198" i="1"/>
  <c r="AV199" i="1"/>
  <c r="AV201" i="1"/>
  <c r="AV202" i="1"/>
  <c r="AV204" i="1"/>
  <c r="AV205" i="1"/>
  <c r="AV207" i="1"/>
  <c r="AV208" i="1"/>
  <c r="AV210" i="1"/>
  <c r="AV211" i="1"/>
  <c r="AV213" i="1"/>
  <c r="AV214" i="1"/>
  <c r="AV216" i="1"/>
  <c r="AV217" i="1"/>
  <c r="AV219" i="1"/>
  <c r="AV220" i="1"/>
  <c r="AV222" i="1"/>
  <c r="AV223" i="1"/>
  <c r="AV225" i="1"/>
  <c r="AV226" i="1"/>
  <c r="AV231" i="1"/>
  <c r="AV232" i="1"/>
  <c r="AV234" i="1"/>
  <c r="AV235" i="1"/>
  <c r="AV237" i="1"/>
  <c r="AV238" i="1"/>
  <c r="AV240" i="1"/>
  <c r="AV241" i="1"/>
  <c r="AV243" i="1"/>
  <c r="AV244" i="1"/>
  <c r="AV246" i="1"/>
  <c r="AV247" i="1"/>
  <c r="AV249" i="1"/>
  <c r="AV250" i="1"/>
  <c r="AV252" i="1"/>
  <c r="AV253" i="1"/>
  <c r="AV255" i="1"/>
  <c r="AV256" i="1"/>
  <c r="AV258" i="1"/>
  <c r="AV259" i="1"/>
  <c r="AV261" i="1"/>
  <c r="AV262" i="1"/>
  <c r="AV264" i="1"/>
  <c r="AV265" i="1"/>
  <c r="AV270" i="1"/>
  <c r="AV271" i="1"/>
  <c r="AV273" i="1"/>
  <c r="AV274" i="1"/>
  <c r="AV276" i="1"/>
  <c r="AV277" i="1"/>
  <c r="AV279" i="1"/>
  <c r="AV280" i="1"/>
  <c r="AV282" i="1"/>
  <c r="AV283" i="1"/>
  <c r="AV285" i="1"/>
  <c r="AV286" i="1"/>
  <c r="AV288" i="1"/>
  <c r="AV289" i="1"/>
  <c r="AV291" i="1"/>
  <c r="AV292" i="1"/>
  <c r="AV294" i="1"/>
  <c r="AV295" i="1"/>
  <c r="AV297" i="1"/>
  <c r="AV298" i="1"/>
  <c r="AV300" i="1"/>
  <c r="AV301" i="1"/>
  <c r="AV303" i="1"/>
  <c r="AV304" i="1"/>
  <c r="AV306" i="1"/>
  <c r="AV307" i="1"/>
  <c r="AV309" i="1"/>
  <c r="AV310" i="1"/>
  <c r="AV312" i="1"/>
  <c r="AV313" i="1"/>
  <c r="AV315" i="1"/>
  <c r="AV316" i="1"/>
  <c r="AV318" i="1"/>
  <c r="AV319" i="1"/>
  <c r="AV321" i="1"/>
  <c r="AV322" i="1"/>
  <c r="AV324" i="1"/>
  <c r="AV325" i="1"/>
  <c r="AV327" i="1"/>
  <c r="AV328" i="1"/>
  <c r="AV330" i="1"/>
  <c r="AV331" i="1"/>
  <c r="AV333" i="1"/>
  <c r="AV334" i="1"/>
  <c r="AV336" i="1"/>
  <c r="AV337" i="1"/>
  <c r="AV339" i="1"/>
  <c r="AV340" i="1"/>
  <c r="AV342" i="1"/>
  <c r="AV343" i="1"/>
  <c r="AV345" i="1"/>
  <c r="AV346" i="1"/>
  <c r="AV348" i="1"/>
  <c r="AV349" i="1"/>
  <c r="AV351" i="1"/>
  <c r="AV352" i="1"/>
  <c r="AV354" i="1"/>
  <c r="AV355" i="1"/>
  <c r="AV357" i="1"/>
  <c r="AV358" i="1"/>
  <c r="AV360" i="1"/>
  <c r="AV361" i="1"/>
  <c r="AV363" i="1"/>
  <c r="AV364" i="1"/>
  <c r="AV366" i="1"/>
  <c r="AV367" i="1"/>
  <c r="AV369" i="1"/>
  <c r="AV370" i="1"/>
  <c r="AV372" i="1"/>
  <c r="AV373" i="1"/>
  <c r="AV375" i="1"/>
  <c r="AV376" i="1"/>
  <c r="AZ263" i="1"/>
  <c r="BA263" i="1"/>
  <c r="BB263" i="1"/>
  <c r="BC263" i="1"/>
  <c r="BD263" i="1"/>
  <c r="BE263" i="1"/>
  <c r="AZ264" i="1"/>
  <c r="BA264" i="1"/>
  <c r="BB264" i="1"/>
  <c r="BC264" i="1"/>
  <c r="BD264" i="1"/>
  <c r="BE264" i="1"/>
  <c r="AZ265" i="1"/>
  <c r="BA265" i="1"/>
  <c r="BB265" i="1"/>
  <c r="BC265" i="1"/>
  <c r="BD265" i="1"/>
  <c r="BE265" i="1"/>
  <c r="AX263" i="1"/>
  <c r="AX264" i="1"/>
  <c r="AX265" i="1"/>
  <c r="AR263" i="1"/>
  <c r="AS263" i="1"/>
  <c r="AT263" i="1"/>
  <c r="AU263" i="1"/>
  <c r="AR264" i="1"/>
  <c r="AS264" i="1"/>
  <c r="AT264" i="1"/>
  <c r="AU264" i="1"/>
  <c r="AR265" i="1"/>
  <c r="AS265" i="1"/>
  <c r="AT265" i="1"/>
  <c r="AU265" i="1"/>
  <c r="AP263" i="1"/>
  <c r="AP264" i="1"/>
  <c r="AP265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W266" i="1"/>
  <c r="AX266" i="1"/>
  <c r="AY266" i="1"/>
  <c r="AZ266" i="1"/>
  <c r="BA266" i="1"/>
  <c r="BB266" i="1"/>
  <c r="BC266" i="1"/>
  <c r="BD266" i="1"/>
  <c r="BE266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W267" i="1"/>
  <c r="AX267" i="1"/>
  <c r="AY267" i="1"/>
  <c r="AZ267" i="1"/>
  <c r="BA267" i="1"/>
  <c r="BB267" i="1"/>
  <c r="BC267" i="1"/>
  <c r="BD267" i="1"/>
  <c r="BE267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W268" i="1"/>
  <c r="AX268" i="1"/>
  <c r="AY268" i="1"/>
  <c r="AZ268" i="1"/>
  <c r="BA268" i="1"/>
  <c r="BB268" i="1"/>
  <c r="BC268" i="1"/>
  <c r="BD268" i="1"/>
  <c r="BE268" i="1"/>
  <c r="AF264" i="1"/>
  <c r="AF265" i="1"/>
  <c r="AF266" i="1"/>
  <c r="AF267" i="1"/>
  <c r="AF268" i="1"/>
  <c r="AF263" i="1"/>
  <c r="AE267" i="1"/>
  <c r="AE268" i="1"/>
  <c r="AE266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W3" i="1"/>
  <c r="AX3" i="1"/>
  <c r="AY3" i="1"/>
  <c r="AZ3" i="1"/>
  <c r="BA3" i="1"/>
  <c r="BB3" i="1"/>
  <c r="BC3" i="1"/>
  <c r="BD3" i="1"/>
  <c r="BE3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W4" i="1"/>
  <c r="AX4" i="1"/>
  <c r="AY4" i="1"/>
  <c r="AZ4" i="1"/>
  <c r="BA4" i="1"/>
  <c r="BB4" i="1"/>
  <c r="BC4" i="1"/>
  <c r="BD4" i="1"/>
  <c r="BE4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W5" i="1"/>
  <c r="AX5" i="1"/>
  <c r="AY5" i="1"/>
  <c r="AZ5" i="1"/>
  <c r="BA5" i="1"/>
  <c r="BB5" i="1"/>
  <c r="BC5" i="1"/>
  <c r="BD5" i="1"/>
  <c r="BE5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W6" i="1"/>
  <c r="AX6" i="1"/>
  <c r="AY6" i="1"/>
  <c r="AZ6" i="1"/>
  <c r="BA6" i="1"/>
  <c r="BB6" i="1"/>
  <c r="BC6" i="1"/>
  <c r="BD6" i="1"/>
  <c r="BE6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W7" i="1"/>
  <c r="AX7" i="1"/>
  <c r="AY7" i="1"/>
  <c r="AZ7" i="1"/>
  <c r="BA7" i="1"/>
  <c r="BB7" i="1"/>
  <c r="BC7" i="1"/>
  <c r="BD7" i="1"/>
  <c r="BE7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W8" i="1"/>
  <c r="AX8" i="1"/>
  <c r="AY8" i="1"/>
  <c r="AZ8" i="1"/>
  <c r="BA8" i="1"/>
  <c r="BB8" i="1"/>
  <c r="BC8" i="1"/>
  <c r="BD8" i="1"/>
  <c r="BE8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W9" i="1"/>
  <c r="AX9" i="1"/>
  <c r="AY9" i="1"/>
  <c r="AZ9" i="1"/>
  <c r="BA9" i="1"/>
  <c r="BB9" i="1"/>
  <c r="BC9" i="1"/>
  <c r="BD9" i="1"/>
  <c r="BE9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W10" i="1"/>
  <c r="AX10" i="1"/>
  <c r="AY10" i="1"/>
  <c r="AZ10" i="1"/>
  <c r="BA10" i="1"/>
  <c r="BB10" i="1"/>
  <c r="BC10" i="1"/>
  <c r="BD10" i="1"/>
  <c r="BE10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W11" i="1"/>
  <c r="AX11" i="1"/>
  <c r="AY11" i="1"/>
  <c r="AZ11" i="1"/>
  <c r="BA11" i="1"/>
  <c r="BB11" i="1"/>
  <c r="BC11" i="1"/>
  <c r="BD11" i="1"/>
  <c r="BE11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W12" i="1"/>
  <c r="AX12" i="1"/>
  <c r="AY12" i="1"/>
  <c r="AZ12" i="1"/>
  <c r="BA12" i="1"/>
  <c r="BB12" i="1"/>
  <c r="BC12" i="1"/>
  <c r="BD12" i="1"/>
  <c r="BE12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W13" i="1"/>
  <c r="AX13" i="1"/>
  <c r="AY13" i="1"/>
  <c r="AZ13" i="1"/>
  <c r="BA13" i="1"/>
  <c r="BB13" i="1"/>
  <c r="BC13" i="1"/>
  <c r="BD13" i="1"/>
  <c r="BE13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W14" i="1"/>
  <c r="AX14" i="1"/>
  <c r="AY14" i="1"/>
  <c r="AZ14" i="1"/>
  <c r="BA14" i="1"/>
  <c r="BB14" i="1"/>
  <c r="BC14" i="1"/>
  <c r="BD14" i="1"/>
  <c r="BE14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W15" i="1"/>
  <c r="AX15" i="1"/>
  <c r="AY15" i="1"/>
  <c r="AZ15" i="1"/>
  <c r="BA15" i="1"/>
  <c r="BB15" i="1"/>
  <c r="BC15" i="1"/>
  <c r="BD15" i="1"/>
  <c r="BE15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W16" i="1"/>
  <c r="AX16" i="1"/>
  <c r="AY16" i="1"/>
  <c r="AZ16" i="1"/>
  <c r="BA16" i="1"/>
  <c r="BB16" i="1"/>
  <c r="BC16" i="1"/>
  <c r="BD16" i="1"/>
  <c r="BE16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W17" i="1"/>
  <c r="AX17" i="1"/>
  <c r="AY17" i="1"/>
  <c r="AZ17" i="1"/>
  <c r="BA17" i="1"/>
  <c r="BB17" i="1"/>
  <c r="BC17" i="1"/>
  <c r="BD17" i="1"/>
  <c r="BE17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W18" i="1"/>
  <c r="AX18" i="1"/>
  <c r="AY18" i="1"/>
  <c r="AZ18" i="1"/>
  <c r="BA18" i="1"/>
  <c r="BB18" i="1"/>
  <c r="BC18" i="1"/>
  <c r="BD18" i="1"/>
  <c r="BE18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W19" i="1"/>
  <c r="AX19" i="1"/>
  <c r="AY19" i="1"/>
  <c r="AZ19" i="1"/>
  <c r="BA19" i="1"/>
  <c r="BB19" i="1"/>
  <c r="BC19" i="1"/>
  <c r="BD19" i="1"/>
  <c r="BE19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W20" i="1"/>
  <c r="AX20" i="1"/>
  <c r="AY20" i="1"/>
  <c r="AZ20" i="1"/>
  <c r="BA20" i="1"/>
  <c r="BB20" i="1"/>
  <c r="BC20" i="1"/>
  <c r="BD20" i="1"/>
  <c r="BE20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W21" i="1"/>
  <c r="AX21" i="1"/>
  <c r="AY21" i="1"/>
  <c r="AZ21" i="1"/>
  <c r="BA21" i="1"/>
  <c r="BB21" i="1"/>
  <c r="BC21" i="1"/>
  <c r="BD21" i="1"/>
  <c r="BE21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W22" i="1"/>
  <c r="AX22" i="1"/>
  <c r="AY22" i="1"/>
  <c r="AZ22" i="1"/>
  <c r="BA22" i="1"/>
  <c r="BB22" i="1"/>
  <c r="BC22" i="1"/>
  <c r="BD22" i="1"/>
  <c r="BE22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W23" i="1"/>
  <c r="AX23" i="1"/>
  <c r="AY23" i="1"/>
  <c r="AZ23" i="1"/>
  <c r="BA23" i="1"/>
  <c r="BB23" i="1"/>
  <c r="BC23" i="1"/>
  <c r="BD23" i="1"/>
  <c r="BE23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W24" i="1"/>
  <c r="AX24" i="1"/>
  <c r="AY24" i="1"/>
  <c r="AZ24" i="1"/>
  <c r="BA24" i="1"/>
  <c r="BB24" i="1"/>
  <c r="BC24" i="1"/>
  <c r="BD24" i="1"/>
  <c r="BE24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W25" i="1"/>
  <c r="AX25" i="1"/>
  <c r="AY25" i="1"/>
  <c r="AZ25" i="1"/>
  <c r="BA25" i="1"/>
  <c r="BB25" i="1"/>
  <c r="BC25" i="1"/>
  <c r="BD25" i="1"/>
  <c r="BE25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W26" i="1"/>
  <c r="AX26" i="1"/>
  <c r="AY26" i="1"/>
  <c r="AZ26" i="1"/>
  <c r="BA26" i="1"/>
  <c r="BB26" i="1"/>
  <c r="BC26" i="1"/>
  <c r="BD26" i="1"/>
  <c r="BE26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W27" i="1"/>
  <c r="AX27" i="1"/>
  <c r="AY27" i="1"/>
  <c r="AZ27" i="1"/>
  <c r="BA27" i="1"/>
  <c r="BB27" i="1"/>
  <c r="BC27" i="1"/>
  <c r="BD27" i="1"/>
  <c r="BE27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W28" i="1"/>
  <c r="AX28" i="1"/>
  <c r="AY28" i="1"/>
  <c r="AZ28" i="1"/>
  <c r="BA28" i="1"/>
  <c r="BB28" i="1"/>
  <c r="BC28" i="1"/>
  <c r="BD28" i="1"/>
  <c r="BE28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W29" i="1"/>
  <c r="AX29" i="1"/>
  <c r="AY29" i="1"/>
  <c r="AZ29" i="1"/>
  <c r="BA29" i="1"/>
  <c r="BB29" i="1"/>
  <c r="BC29" i="1"/>
  <c r="BD29" i="1"/>
  <c r="BE29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W30" i="1"/>
  <c r="AX30" i="1"/>
  <c r="AY30" i="1"/>
  <c r="AZ30" i="1"/>
  <c r="BA30" i="1"/>
  <c r="BB30" i="1"/>
  <c r="BC30" i="1"/>
  <c r="BD30" i="1"/>
  <c r="BE30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W31" i="1"/>
  <c r="AX31" i="1"/>
  <c r="AY31" i="1"/>
  <c r="AZ31" i="1"/>
  <c r="BA31" i="1"/>
  <c r="BB31" i="1"/>
  <c r="BC31" i="1"/>
  <c r="BD31" i="1"/>
  <c r="BE31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W32" i="1"/>
  <c r="AX32" i="1"/>
  <c r="AY32" i="1"/>
  <c r="AZ32" i="1"/>
  <c r="BA32" i="1"/>
  <c r="BB32" i="1"/>
  <c r="BC32" i="1"/>
  <c r="BD32" i="1"/>
  <c r="BE32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W33" i="1"/>
  <c r="AX33" i="1"/>
  <c r="AY33" i="1"/>
  <c r="AZ33" i="1"/>
  <c r="BA33" i="1"/>
  <c r="BB33" i="1"/>
  <c r="BC33" i="1"/>
  <c r="BD33" i="1"/>
  <c r="BE33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W34" i="1"/>
  <c r="AX34" i="1"/>
  <c r="AY34" i="1"/>
  <c r="AZ34" i="1"/>
  <c r="BA34" i="1"/>
  <c r="BB34" i="1"/>
  <c r="BC34" i="1"/>
  <c r="BD34" i="1"/>
  <c r="BE34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W35" i="1"/>
  <c r="AX35" i="1"/>
  <c r="AY35" i="1"/>
  <c r="AZ35" i="1"/>
  <c r="BA35" i="1"/>
  <c r="BB35" i="1"/>
  <c r="BC35" i="1"/>
  <c r="BD35" i="1"/>
  <c r="BE35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W36" i="1"/>
  <c r="AX36" i="1"/>
  <c r="AY36" i="1"/>
  <c r="AZ36" i="1"/>
  <c r="BA36" i="1"/>
  <c r="BB36" i="1"/>
  <c r="BC36" i="1"/>
  <c r="BD36" i="1"/>
  <c r="BE36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W37" i="1"/>
  <c r="AX37" i="1"/>
  <c r="AY37" i="1"/>
  <c r="AZ37" i="1"/>
  <c r="BA37" i="1"/>
  <c r="BB37" i="1"/>
  <c r="BC37" i="1"/>
  <c r="BD37" i="1"/>
  <c r="BE37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W38" i="1"/>
  <c r="AX38" i="1"/>
  <c r="AY38" i="1"/>
  <c r="AZ38" i="1"/>
  <c r="BA38" i="1"/>
  <c r="BB38" i="1"/>
  <c r="BC38" i="1"/>
  <c r="BD38" i="1"/>
  <c r="BE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W39" i="1"/>
  <c r="AX39" i="1"/>
  <c r="AY39" i="1"/>
  <c r="AZ39" i="1"/>
  <c r="BA39" i="1"/>
  <c r="BB39" i="1"/>
  <c r="BC39" i="1"/>
  <c r="BD39" i="1"/>
  <c r="BE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W40" i="1"/>
  <c r="AX40" i="1"/>
  <c r="AY40" i="1"/>
  <c r="AZ40" i="1"/>
  <c r="BA40" i="1"/>
  <c r="BB40" i="1"/>
  <c r="BC40" i="1"/>
  <c r="BD40" i="1"/>
  <c r="BE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W41" i="1"/>
  <c r="AX41" i="1"/>
  <c r="AY41" i="1"/>
  <c r="AZ41" i="1"/>
  <c r="BA41" i="1"/>
  <c r="BB41" i="1"/>
  <c r="BC41" i="1"/>
  <c r="BD41" i="1"/>
  <c r="BE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W42" i="1"/>
  <c r="AX42" i="1"/>
  <c r="AY42" i="1"/>
  <c r="AZ42" i="1"/>
  <c r="BA42" i="1"/>
  <c r="BB42" i="1"/>
  <c r="BC42" i="1"/>
  <c r="BD42" i="1"/>
  <c r="BE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W43" i="1"/>
  <c r="AX43" i="1"/>
  <c r="AY43" i="1"/>
  <c r="AZ43" i="1"/>
  <c r="BA43" i="1"/>
  <c r="BB43" i="1"/>
  <c r="BC43" i="1"/>
  <c r="BD43" i="1"/>
  <c r="BE43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W44" i="1"/>
  <c r="AX44" i="1"/>
  <c r="AY44" i="1"/>
  <c r="AZ44" i="1"/>
  <c r="BA44" i="1"/>
  <c r="BB44" i="1"/>
  <c r="BC44" i="1"/>
  <c r="BD44" i="1"/>
  <c r="BE44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W45" i="1"/>
  <c r="AX45" i="1"/>
  <c r="AY45" i="1"/>
  <c r="AZ45" i="1"/>
  <c r="BA45" i="1"/>
  <c r="BB45" i="1"/>
  <c r="BC45" i="1"/>
  <c r="BD45" i="1"/>
  <c r="BE45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W46" i="1"/>
  <c r="AX46" i="1"/>
  <c r="AY46" i="1"/>
  <c r="AZ46" i="1"/>
  <c r="BA46" i="1"/>
  <c r="BB46" i="1"/>
  <c r="BC46" i="1"/>
  <c r="BD46" i="1"/>
  <c r="BE46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W47" i="1"/>
  <c r="AX47" i="1"/>
  <c r="AY47" i="1"/>
  <c r="AZ47" i="1"/>
  <c r="BA47" i="1"/>
  <c r="BB47" i="1"/>
  <c r="BC47" i="1"/>
  <c r="BD47" i="1"/>
  <c r="BE47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W48" i="1"/>
  <c r="AX48" i="1"/>
  <c r="AY48" i="1"/>
  <c r="AZ48" i="1"/>
  <c r="BA48" i="1"/>
  <c r="BB48" i="1"/>
  <c r="BC48" i="1"/>
  <c r="BD48" i="1"/>
  <c r="BE48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W49" i="1"/>
  <c r="AX49" i="1"/>
  <c r="AY49" i="1"/>
  <c r="AZ49" i="1"/>
  <c r="BA49" i="1"/>
  <c r="BB49" i="1"/>
  <c r="BC49" i="1"/>
  <c r="BD49" i="1"/>
  <c r="BE49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W50" i="1"/>
  <c r="AX50" i="1"/>
  <c r="AY50" i="1"/>
  <c r="AZ50" i="1"/>
  <c r="BA50" i="1"/>
  <c r="BB50" i="1"/>
  <c r="BC50" i="1"/>
  <c r="BD50" i="1"/>
  <c r="BE50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W51" i="1"/>
  <c r="AX51" i="1"/>
  <c r="AY51" i="1"/>
  <c r="AZ51" i="1"/>
  <c r="BA51" i="1"/>
  <c r="BB51" i="1"/>
  <c r="BC51" i="1"/>
  <c r="BD51" i="1"/>
  <c r="BE51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W52" i="1"/>
  <c r="AX52" i="1"/>
  <c r="AY52" i="1"/>
  <c r="AZ52" i="1"/>
  <c r="BA52" i="1"/>
  <c r="BB52" i="1"/>
  <c r="BC52" i="1"/>
  <c r="BD52" i="1"/>
  <c r="BE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W53" i="1"/>
  <c r="AX53" i="1"/>
  <c r="AY53" i="1"/>
  <c r="AZ53" i="1"/>
  <c r="BA53" i="1"/>
  <c r="BB53" i="1"/>
  <c r="BC53" i="1"/>
  <c r="BD53" i="1"/>
  <c r="BE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W54" i="1"/>
  <c r="AX54" i="1"/>
  <c r="AY54" i="1"/>
  <c r="AZ54" i="1"/>
  <c r="BA54" i="1"/>
  <c r="BB54" i="1"/>
  <c r="BC54" i="1"/>
  <c r="BD54" i="1"/>
  <c r="BE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W55" i="1"/>
  <c r="AX55" i="1"/>
  <c r="AY55" i="1"/>
  <c r="AZ55" i="1"/>
  <c r="BA55" i="1"/>
  <c r="BB55" i="1"/>
  <c r="BC55" i="1"/>
  <c r="BD55" i="1"/>
  <c r="BE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W56" i="1"/>
  <c r="AX56" i="1"/>
  <c r="AY56" i="1"/>
  <c r="AZ56" i="1"/>
  <c r="BA56" i="1"/>
  <c r="BB56" i="1"/>
  <c r="BC56" i="1"/>
  <c r="BD56" i="1"/>
  <c r="BE56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W57" i="1"/>
  <c r="AX57" i="1"/>
  <c r="AY57" i="1"/>
  <c r="AZ57" i="1"/>
  <c r="BA57" i="1"/>
  <c r="BB57" i="1"/>
  <c r="BC57" i="1"/>
  <c r="BD57" i="1"/>
  <c r="BE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W58" i="1"/>
  <c r="AX58" i="1"/>
  <c r="AY58" i="1"/>
  <c r="AZ58" i="1"/>
  <c r="BA58" i="1"/>
  <c r="BB58" i="1"/>
  <c r="BC58" i="1"/>
  <c r="BD58" i="1"/>
  <c r="BE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W59" i="1"/>
  <c r="AX59" i="1"/>
  <c r="AY59" i="1"/>
  <c r="AZ59" i="1"/>
  <c r="BA59" i="1"/>
  <c r="BB59" i="1"/>
  <c r="BC59" i="1"/>
  <c r="BD59" i="1"/>
  <c r="BE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W60" i="1"/>
  <c r="AX60" i="1"/>
  <c r="AY60" i="1"/>
  <c r="AZ60" i="1"/>
  <c r="BA60" i="1"/>
  <c r="BB60" i="1"/>
  <c r="BC60" i="1"/>
  <c r="BD60" i="1"/>
  <c r="BE60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W61" i="1"/>
  <c r="AX61" i="1"/>
  <c r="AY61" i="1"/>
  <c r="AZ61" i="1"/>
  <c r="BA61" i="1"/>
  <c r="BB61" i="1"/>
  <c r="BC61" i="1"/>
  <c r="BD61" i="1"/>
  <c r="BE61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W62" i="1"/>
  <c r="AX62" i="1"/>
  <c r="AY62" i="1"/>
  <c r="AZ62" i="1"/>
  <c r="BA62" i="1"/>
  <c r="BB62" i="1"/>
  <c r="BC62" i="1"/>
  <c r="BD62" i="1"/>
  <c r="BE62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W63" i="1"/>
  <c r="AX63" i="1"/>
  <c r="AY63" i="1"/>
  <c r="AZ63" i="1"/>
  <c r="BA63" i="1"/>
  <c r="BB63" i="1"/>
  <c r="BC63" i="1"/>
  <c r="BD63" i="1"/>
  <c r="BE63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W64" i="1"/>
  <c r="AX64" i="1"/>
  <c r="AY64" i="1"/>
  <c r="AZ64" i="1"/>
  <c r="BA64" i="1"/>
  <c r="BB64" i="1"/>
  <c r="BC64" i="1"/>
  <c r="BD64" i="1"/>
  <c r="BE64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W65" i="1"/>
  <c r="AX65" i="1"/>
  <c r="AY65" i="1"/>
  <c r="AZ65" i="1"/>
  <c r="BA65" i="1"/>
  <c r="BB65" i="1"/>
  <c r="BC65" i="1"/>
  <c r="BD65" i="1"/>
  <c r="BE65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W66" i="1"/>
  <c r="AX66" i="1"/>
  <c r="AY66" i="1"/>
  <c r="AZ66" i="1"/>
  <c r="BA66" i="1"/>
  <c r="BB66" i="1"/>
  <c r="BC66" i="1"/>
  <c r="BD66" i="1"/>
  <c r="BE66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W67" i="1"/>
  <c r="AX67" i="1"/>
  <c r="AY67" i="1"/>
  <c r="AZ67" i="1"/>
  <c r="BA67" i="1"/>
  <c r="BB67" i="1"/>
  <c r="BC67" i="1"/>
  <c r="BD67" i="1"/>
  <c r="BE67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W68" i="1"/>
  <c r="AX68" i="1"/>
  <c r="AY68" i="1"/>
  <c r="AZ68" i="1"/>
  <c r="BA68" i="1"/>
  <c r="BB68" i="1"/>
  <c r="BC68" i="1"/>
  <c r="BD68" i="1"/>
  <c r="BE68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W69" i="1"/>
  <c r="AX69" i="1"/>
  <c r="AY69" i="1"/>
  <c r="AZ69" i="1"/>
  <c r="BA69" i="1"/>
  <c r="BB69" i="1"/>
  <c r="BC69" i="1"/>
  <c r="BD69" i="1"/>
  <c r="BE69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W70" i="1"/>
  <c r="AX70" i="1"/>
  <c r="AY70" i="1"/>
  <c r="AZ70" i="1"/>
  <c r="BA70" i="1"/>
  <c r="BB70" i="1"/>
  <c r="BC70" i="1"/>
  <c r="BD70" i="1"/>
  <c r="BE70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W71" i="1"/>
  <c r="AX71" i="1"/>
  <c r="AY71" i="1"/>
  <c r="AZ71" i="1"/>
  <c r="BA71" i="1"/>
  <c r="BB71" i="1"/>
  <c r="BC71" i="1"/>
  <c r="BD71" i="1"/>
  <c r="BE71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W72" i="1"/>
  <c r="AX72" i="1"/>
  <c r="AY72" i="1"/>
  <c r="AZ72" i="1"/>
  <c r="BA72" i="1"/>
  <c r="BB72" i="1"/>
  <c r="BC72" i="1"/>
  <c r="BD72" i="1"/>
  <c r="BE72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W73" i="1"/>
  <c r="AX73" i="1"/>
  <c r="AY73" i="1"/>
  <c r="AZ73" i="1"/>
  <c r="BA73" i="1"/>
  <c r="BB73" i="1"/>
  <c r="BC73" i="1"/>
  <c r="BD73" i="1"/>
  <c r="BE73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W74" i="1"/>
  <c r="AX74" i="1"/>
  <c r="AY74" i="1"/>
  <c r="AZ74" i="1"/>
  <c r="BA74" i="1"/>
  <c r="BB74" i="1"/>
  <c r="BC74" i="1"/>
  <c r="BD74" i="1"/>
  <c r="BE74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W75" i="1"/>
  <c r="AX75" i="1"/>
  <c r="AY75" i="1"/>
  <c r="AZ75" i="1"/>
  <c r="BA75" i="1"/>
  <c r="BB75" i="1"/>
  <c r="BC75" i="1"/>
  <c r="BD75" i="1"/>
  <c r="BE75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W76" i="1"/>
  <c r="AX76" i="1"/>
  <c r="AY76" i="1"/>
  <c r="AZ76" i="1"/>
  <c r="BA76" i="1"/>
  <c r="BB76" i="1"/>
  <c r="BC76" i="1"/>
  <c r="BD76" i="1"/>
  <c r="BE76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W77" i="1"/>
  <c r="AX77" i="1"/>
  <c r="AY77" i="1"/>
  <c r="AZ77" i="1"/>
  <c r="BA77" i="1"/>
  <c r="BB77" i="1"/>
  <c r="BC77" i="1"/>
  <c r="BD77" i="1"/>
  <c r="BE77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W78" i="1"/>
  <c r="AX78" i="1"/>
  <c r="AY78" i="1"/>
  <c r="AZ78" i="1"/>
  <c r="BA78" i="1"/>
  <c r="BB78" i="1"/>
  <c r="BC78" i="1"/>
  <c r="BD78" i="1"/>
  <c r="BE78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W79" i="1"/>
  <c r="AX79" i="1"/>
  <c r="AY79" i="1"/>
  <c r="AZ79" i="1"/>
  <c r="BA79" i="1"/>
  <c r="BB79" i="1"/>
  <c r="BC79" i="1"/>
  <c r="BD79" i="1"/>
  <c r="BE79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W80" i="1"/>
  <c r="AX80" i="1"/>
  <c r="AY80" i="1"/>
  <c r="AZ80" i="1"/>
  <c r="BA80" i="1"/>
  <c r="BB80" i="1"/>
  <c r="BC80" i="1"/>
  <c r="BD80" i="1"/>
  <c r="BE80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W81" i="1"/>
  <c r="AX81" i="1"/>
  <c r="AY81" i="1"/>
  <c r="AZ81" i="1"/>
  <c r="BA81" i="1"/>
  <c r="BB81" i="1"/>
  <c r="BC81" i="1"/>
  <c r="BD81" i="1"/>
  <c r="BE81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W82" i="1"/>
  <c r="AX82" i="1"/>
  <c r="AY82" i="1"/>
  <c r="AZ82" i="1"/>
  <c r="BA82" i="1"/>
  <c r="BB82" i="1"/>
  <c r="BC82" i="1"/>
  <c r="BD82" i="1"/>
  <c r="BE82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W83" i="1"/>
  <c r="AX83" i="1"/>
  <c r="AY83" i="1"/>
  <c r="AZ83" i="1"/>
  <c r="BA83" i="1"/>
  <c r="BB83" i="1"/>
  <c r="BC83" i="1"/>
  <c r="BD83" i="1"/>
  <c r="BE83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W84" i="1"/>
  <c r="AX84" i="1"/>
  <c r="AY84" i="1"/>
  <c r="AZ84" i="1"/>
  <c r="BA84" i="1"/>
  <c r="BB84" i="1"/>
  <c r="BC84" i="1"/>
  <c r="BD84" i="1"/>
  <c r="BE84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W85" i="1"/>
  <c r="AX85" i="1"/>
  <c r="AY85" i="1"/>
  <c r="AZ85" i="1"/>
  <c r="BA85" i="1"/>
  <c r="BB85" i="1"/>
  <c r="BC85" i="1"/>
  <c r="BD85" i="1"/>
  <c r="BE85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W86" i="1"/>
  <c r="AX86" i="1"/>
  <c r="AY86" i="1"/>
  <c r="AZ86" i="1"/>
  <c r="BA86" i="1"/>
  <c r="BB86" i="1"/>
  <c r="BC86" i="1"/>
  <c r="BD86" i="1"/>
  <c r="BE86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W87" i="1"/>
  <c r="AX87" i="1"/>
  <c r="AY87" i="1"/>
  <c r="AZ87" i="1"/>
  <c r="BA87" i="1"/>
  <c r="BB87" i="1"/>
  <c r="BC87" i="1"/>
  <c r="BD87" i="1"/>
  <c r="BE87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W88" i="1"/>
  <c r="AX88" i="1"/>
  <c r="AY88" i="1"/>
  <c r="AZ88" i="1"/>
  <c r="BA88" i="1"/>
  <c r="BB88" i="1"/>
  <c r="BC88" i="1"/>
  <c r="BD88" i="1"/>
  <c r="BE88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W89" i="1"/>
  <c r="AX89" i="1"/>
  <c r="AY89" i="1"/>
  <c r="AZ89" i="1"/>
  <c r="BA89" i="1"/>
  <c r="BB89" i="1"/>
  <c r="BC89" i="1"/>
  <c r="BD89" i="1"/>
  <c r="BE89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W90" i="1"/>
  <c r="AX90" i="1"/>
  <c r="AY90" i="1"/>
  <c r="AZ90" i="1"/>
  <c r="BA90" i="1"/>
  <c r="BB90" i="1"/>
  <c r="BC90" i="1"/>
  <c r="BD90" i="1"/>
  <c r="BE90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W91" i="1"/>
  <c r="AX91" i="1"/>
  <c r="AY91" i="1"/>
  <c r="AZ91" i="1"/>
  <c r="BA91" i="1"/>
  <c r="BB91" i="1"/>
  <c r="BC91" i="1"/>
  <c r="BD91" i="1"/>
  <c r="BE91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W92" i="1"/>
  <c r="AX92" i="1"/>
  <c r="AY92" i="1"/>
  <c r="AZ92" i="1"/>
  <c r="BA92" i="1"/>
  <c r="BB92" i="1"/>
  <c r="BC92" i="1"/>
  <c r="BD92" i="1"/>
  <c r="BE92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W93" i="1"/>
  <c r="AX93" i="1"/>
  <c r="AY93" i="1"/>
  <c r="AZ93" i="1"/>
  <c r="BA93" i="1"/>
  <c r="BB93" i="1"/>
  <c r="BC93" i="1"/>
  <c r="BD93" i="1"/>
  <c r="BE93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W94" i="1"/>
  <c r="AX94" i="1"/>
  <c r="AY94" i="1"/>
  <c r="AZ94" i="1"/>
  <c r="BA94" i="1"/>
  <c r="BB94" i="1"/>
  <c r="BC94" i="1"/>
  <c r="BD94" i="1"/>
  <c r="BE94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W95" i="1"/>
  <c r="AX95" i="1"/>
  <c r="AY95" i="1"/>
  <c r="AZ95" i="1"/>
  <c r="BA95" i="1"/>
  <c r="BB95" i="1"/>
  <c r="BC95" i="1"/>
  <c r="BD95" i="1"/>
  <c r="BE95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W96" i="1"/>
  <c r="AX96" i="1"/>
  <c r="AY96" i="1"/>
  <c r="AZ96" i="1"/>
  <c r="BA96" i="1"/>
  <c r="BB96" i="1"/>
  <c r="BC96" i="1"/>
  <c r="BD96" i="1"/>
  <c r="BE96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W97" i="1"/>
  <c r="AX97" i="1"/>
  <c r="AY97" i="1"/>
  <c r="AZ97" i="1"/>
  <c r="BA97" i="1"/>
  <c r="BB97" i="1"/>
  <c r="BC97" i="1"/>
  <c r="BD97" i="1"/>
  <c r="BE97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W98" i="1"/>
  <c r="AX98" i="1"/>
  <c r="AY98" i="1"/>
  <c r="AZ98" i="1"/>
  <c r="BA98" i="1"/>
  <c r="BB98" i="1"/>
  <c r="BC98" i="1"/>
  <c r="BD98" i="1"/>
  <c r="BE98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W99" i="1"/>
  <c r="AX99" i="1"/>
  <c r="AY99" i="1"/>
  <c r="AZ99" i="1"/>
  <c r="BA99" i="1"/>
  <c r="BB99" i="1"/>
  <c r="BC99" i="1"/>
  <c r="BD99" i="1"/>
  <c r="BE99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W100" i="1"/>
  <c r="AX100" i="1"/>
  <c r="AY100" i="1"/>
  <c r="AZ100" i="1"/>
  <c r="BA100" i="1"/>
  <c r="BB100" i="1"/>
  <c r="BC100" i="1"/>
  <c r="BD100" i="1"/>
  <c r="BE100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W101" i="1"/>
  <c r="AX101" i="1"/>
  <c r="AY101" i="1"/>
  <c r="AZ101" i="1"/>
  <c r="BA101" i="1"/>
  <c r="BB101" i="1"/>
  <c r="BC101" i="1"/>
  <c r="BD101" i="1"/>
  <c r="BE101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W102" i="1"/>
  <c r="AX102" i="1"/>
  <c r="AY102" i="1"/>
  <c r="AZ102" i="1"/>
  <c r="BA102" i="1"/>
  <c r="BB102" i="1"/>
  <c r="BC102" i="1"/>
  <c r="BD102" i="1"/>
  <c r="BE102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W103" i="1"/>
  <c r="AX103" i="1"/>
  <c r="AY103" i="1"/>
  <c r="AZ103" i="1"/>
  <c r="BA103" i="1"/>
  <c r="BB103" i="1"/>
  <c r="BC103" i="1"/>
  <c r="BD103" i="1"/>
  <c r="BE103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W104" i="1"/>
  <c r="AX104" i="1"/>
  <c r="AY104" i="1"/>
  <c r="AZ104" i="1"/>
  <c r="BA104" i="1"/>
  <c r="BB104" i="1"/>
  <c r="BC104" i="1"/>
  <c r="BD104" i="1"/>
  <c r="BE104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W105" i="1"/>
  <c r="AX105" i="1"/>
  <c r="AY105" i="1"/>
  <c r="AZ105" i="1"/>
  <c r="BA105" i="1"/>
  <c r="BB105" i="1"/>
  <c r="BC105" i="1"/>
  <c r="BD105" i="1"/>
  <c r="BE105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W106" i="1"/>
  <c r="AX106" i="1"/>
  <c r="AY106" i="1"/>
  <c r="AZ106" i="1"/>
  <c r="BA106" i="1"/>
  <c r="BB106" i="1"/>
  <c r="BC106" i="1"/>
  <c r="BD106" i="1"/>
  <c r="BE106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W107" i="1"/>
  <c r="AX107" i="1"/>
  <c r="AY107" i="1"/>
  <c r="AZ107" i="1"/>
  <c r="BA107" i="1"/>
  <c r="BB107" i="1"/>
  <c r="BC107" i="1"/>
  <c r="BD107" i="1"/>
  <c r="BE107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W108" i="1"/>
  <c r="AX108" i="1"/>
  <c r="AY108" i="1"/>
  <c r="AZ108" i="1"/>
  <c r="BA108" i="1"/>
  <c r="BB108" i="1"/>
  <c r="BC108" i="1"/>
  <c r="BD108" i="1"/>
  <c r="BE108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W109" i="1"/>
  <c r="AX109" i="1"/>
  <c r="AY109" i="1"/>
  <c r="AZ109" i="1"/>
  <c r="BA109" i="1"/>
  <c r="BB109" i="1"/>
  <c r="BC109" i="1"/>
  <c r="BD109" i="1"/>
  <c r="BE109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W110" i="1"/>
  <c r="AX110" i="1"/>
  <c r="AY110" i="1"/>
  <c r="AZ110" i="1"/>
  <c r="BA110" i="1"/>
  <c r="BB110" i="1"/>
  <c r="BC110" i="1"/>
  <c r="BD110" i="1"/>
  <c r="BE110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W111" i="1"/>
  <c r="AX111" i="1"/>
  <c r="AY111" i="1"/>
  <c r="AZ111" i="1"/>
  <c r="BA111" i="1"/>
  <c r="BB111" i="1"/>
  <c r="BC111" i="1"/>
  <c r="BD111" i="1"/>
  <c r="BE111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W112" i="1"/>
  <c r="AX112" i="1"/>
  <c r="AY112" i="1"/>
  <c r="AZ112" i="1"/>
  <c r="BA112" i="1"/>
  <c r="BB112" i="1"/>
  <c r="BC112" i="1"/>
  <c r="BD112" i="1"/>
  <c r="BE112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W113" i="1"/>
  <c r="AX113" i="1"/>
  <c r="AY113" i="1"/>
  <c r="AZ113" i="1"/>
  <c r="BA113" i="1"/>
  <c r="BB113" i="1"/>
  <c r="BC113" i="1"/>
  <c r="BD113" i="1"/>
  <c r="BE113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W114" i="1"/>
  <c r="AX114" i="1"/>
  <c r="AY114" i="1"/>
  <c r="AZ114" i="1"/>
  <c r="BA114" i="1"/>
  <c r="BB114" i="1"/>
  <c r="BC114" i="1"/>
  <c r="BD114" i="1"/>
  <c r="BE114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W115" i="1"/>
  <c r="AX115" i="1"/>
  <c r="AY115" i="1"/>
  <c r="AZ115" i="1"/>
  <c r="BA115" i="1"/>
  <c r="BB115" i="1"/>
  <c r="BC115" i="1"/>
  <c r="BD115" i="1"/>
  <c r="BE115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W116" i="1"/>
  <c r="AX116" i="1"/>
  <c r="AY116" i="1"/>
  <c r="AZ116" i="1"/>
  <c r="BA116" i="1"/>
  <c r="BB116" i="1"/>
  <c r="BC116" i="1"/>
  <c r="BD116" i="1"/>
  <c r="BE116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W117" i="1"/>
  <c r="AX117" i="1"/>
  <c r="AY117" i="1"/>
  <c r="AZ117" i="1"/>
  <c r="BA117" i="1"/>
  <c r="BB117" i="1"/>
  <c r="BC117" i="1"/>
  <c r="BD117" i="1"/>
  <c r="BE117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W118" i="1"/>
  <c r="AX118" i="1"/>
  <c r="AY118" i="1"/>
  <c r="AZ118" i="1"/>
  <c r="BA118" i="1"/>
  <c r="BB118" i="1"/>
  <c r="BC118" i="1"/>
  <c r="BD118" i="1"/>
  <c r="BE118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W119" i="1"/>
  <c r="AX119" i="1"/>
  <c r="AY119" i="1"/>
  <c r="AZ119" i="1"/>
  <c r="BA119" i="1"/>
  <c r="BB119" i="1"/>
  <c r="BC119" i="1"/>
  <c r="BD119" i="1"/>
  <c r="BE119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W120" i="1"/>
  <c r="AX120" i="1"/>
  <c r="AY120" i="1"/>
  <c r="AZ120" i="1"/>
  <c r="BA120" i="1"/>
  <c r="BB120" i="1"/>
  <c r="BC120" i="1"/>
  <c r="BD120" i="1"/>
  <c r="BE120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W121" i="1"/>
  <c r="AX121" i="1"/>
  <c r="AY121" i="1"/>
  <c r="AZ121" i="1"/>
  <c r="BA121" i="1"/>
  <c r="BB121" i="1"/>
  <c r="BC121" i="1"/>
  <c r="BD121" i="1"/>
  <c r="BE121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W122" i="1"/>
  <c r="AX122" i="1"/>
  <c r="AY122" i="1"/>
  <c r="AZ122" i="1"/>
  <c r="BA122" i="1"/>
  <c r="BB122" i="1"/>
  <c r="BC122" i="1"/>
  <c r="BD122" i="1"/>
  <c r="BE122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W123" i="1"/>
  <c r="AX123" i="1"/>
  <c r="AY123" i="1"/>
  <c r="AZ123" i="1"/>
  <c r="BA123" i="1"/>
  <c r="BB123" i="1"/>
  <c r="BC123" i="1"/>
  <c r="BD123" i="1"/>
  <c r="BE123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W124" i="1"/>
  <c r="AX124" i="1"/>
  <c r="AY124" i="1"/>
  <c r="AZ124" i="1"/>
  <c r="BA124" i="1"/>
  <c r="BB124" i="1"/>
  <c r="BC124" i="1"/>
  <c r="BD124" i="1"/>
  <c r="BE124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W125" i="1"/>
  <c r="AX125" i="1"/>
  <c r="AY125" i="1"/>
  <c r="AZ125" i="1"/>
  <c r="BA125" i="1"/>
  <c r="BB125" i="1"/>
  <c r="BC125" i="1"/>
  <c r="BD125" i="1"/>
  <c r="BE125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W126" i="1"/>
  <c r="AX126" i="1"/>
  <c r="AY126" i="1"/>
  <c r="AZ126" i="1"/>
  <c r="BA126" i="1"/>
  <c r="BB126" i="1"/>
  <c r="BC126" i="1"/>
  <c r="BD126" i="1"/>
  <c r="BE126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W127" i="1"/>
  <c r="AX127" i="1"/>
  <c r="AY127" i="1"/>
  <c r="AZ127" i="1"/>
  <c r="BA127" i="1"/>
  <c r="BB127" i="1"/>
  <c r="BC127" i="1"/>
  <c r="BD127" i="1"/>
  <c r="BE127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W128" i="1"/>
  <c r="AX128" i="1"/>
  <c r="AY128" i="1"/>
  <c r="AZ128" i="1"/>
  <c r="BA128" i="1"/>
  <c r="BB128" i="1"/>
  <c r="BC128" i="1"/>
  <c r="BD128" i="1"/>
  <c r="BE128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W129" i="1"/>
  <c r="AX129" i="1"/>
  <c r="AY129" i="1"/>
  <c r="AZ129" i="1"/>
  <c r="BA129" i="1"/>
  <c r="BB129" i="1"/>
  <c r="BC129" i="1"/>
  <c r="BD129" i="1"/>
  <c r="BE129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W130" i="1"/>
  <c r="AX130" i="1"/>
  <c r="AY130" i="1"/>
  <c r="AZ130" i="1"/>
  <c r="BA130" i="1"/>
  <c r="BB130" i="1"/>
  <c r="BC130" i="1"/>
  <c r="BD130" i="1"/>
  <c r="BE130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W131" i="1"/>
  <c r="AX131" i="1"/>
  <c r="AY131" i="1"/>
  <c r="AZ131" i="1"/>
  <c r="BA131" i="1"/>
  <c r="BB131" i="1"/>
  <c r="BC131" i="1"/>
  <c r="BD131" i="1"/>
  <c r="BE131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W132" i="1"/>
  <c r="AX132" i="1"/>
  <c r="AY132" i="1"/>
  <c r="AZ132" i="1"/>
  <c r="BA132" i="1"/>
  <c r="BB132" i="1"/>
  <c r="BC132" i="1"/>
  <c r="BD132" i="1"/>
  <c r="BE132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W133" i="1"/>
  <c r="AX133" i="1"/>
  <c r="AY133" i="1"/>
  <c r="AZ133" i="1"/>
  <c r="BA133" i="1"/>
  <c r="BB133" i="1"/>
  <c r="BC133" i="1"/>
  <c r="BD133" i="1"/>
  <c r="BE133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W134" i="1"/>
  <c r="AX134" i="1"/>
  <c r="AY134" i="1"/>
  <c r="AZ134" i="1"/>
  <c r="BA134" i="1"/>
  <c r="BB134" i="1"/>
  <c r="BC134" i="1"/>
  <c r="BD134" i="1"/>
  <c r="BE134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W135" i="1"/>
  <c r="AX135" i="1"/>
  <c r="AY135" i="1"/>
  <c r="AZ135" i="1"/>
  <c r="BA135" i="1"/>
  <c r="BB135" i="1"/>
  <c r="BC135" i="1"/>
  <c r="BD135" i="1"/>
  <c r="BE135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W136" i="1"/>
  <c r="AX136" i="1"/>
  <c r="AY136" i="1"/>
  <c r="AZ136" i="1"/>
  <c r="BA136" i="1"/>
  <c r="BB136" i="1"/>
  <c r="BC136" i="1"/>
  <c r="BD136" i="1"/>
  <c r="BE136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W137" i="1"/>
  <c r="AX137" i="1"/>
  <c r="AY137" i="1"/>
  <c r="AZ137" i="1"/>
  <c r="BA137" i="1"/>
  <c r="BB137" i="1"/>
  <c r="BC137" i="1"/>
  <c r="BD137" i="1"/>
  <c r="BE137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W138" i="1"/>
  <c r="AX138" i="1"/>
  <c r="AY138" i="1"/>
  <c r="AZ138" i="1"/>
  <c r="BA138" i="1"/>
  <c r="BB138" i="1"/>
  <c r="BC138" i="1"/>
  <c r="BD138" i="1"/>
  <c r="BE138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W139" i="1"/>
  <c r="AX139" i="1"/>
  <c r="AY139" i="1"/>
  <c r="AZ139" i="1"/>
  <c r="BA139" i="1"/>
  <c r="BB139" i="1"/>
  <c r="BC139" i="1"/>
  <c r="BD139" i="1"/>
  <c r="BE139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W140" i="1"/>
  <c r="AX140" i="1"/>
  <c r="AY140" i="1"/>
  <c r="AZ140" i="1"/>
  <c r="BA140" i="1"/>
  <c r="BB140" i="1"/>
  <c r="BC140" i="1"/>
  <c r="BD140" i="1"/>
  <c r="BE140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W141" i="1"/>
  <c r="AX141" i="1"/>
  <c r="AY141" i="1"/>
  <c r="AZ141" i="1"/>
  <c r="BA141" i="1"/>
  <c r="BB141" i="1"/>
  <c r="BC141" i="1"/>
  <c r="BD141" i="1"/>
  <c r="BE141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W142" i="1"/>
  <c r="AX142" i="1"/>
  <c r="AY142" i="1"/>
  <c r="AZ142" i="1"/>
  <c r="BA142" i="1"/>
  <c r="BB142" i="1"/>
  <c r="BC142" i="1"/>
  <c r="BD142" i="1"/>
  <c r="BE142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W143" i="1"/>
  <c r="AX143" i="1"/>
  <c r="AY143" i="1"/>
  <c r="AZ143" i="1"/>
  <c r="BA143" i="1"/>
  <c r="BB143" i="1"/>
  <c r="BC143" i="1"/>
  <c r="BD143" i="1"/>
  <c r="BE143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W144" i="1"/>
  <c r="AX144" i="1"/>
  <c r="AY144" i="1"/>
  <c r="AZ144" i="1"/>
  <c r="BA144" i="1"/>
  <c r="BB144" i="1"/>
  <c r="BC144" i="1"/>
  <c r="BD144" i="1"/>
  <c r="BE144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W145" i="1"/>
  <c r="AX145" i="1"/>
  <c r="AY145" i="1"/>
  <c r="AZ145" i="1"/>
  <c r="BA145" i="1"/>
  <c r="BB145" i="1"/>
  <c r="BC145" i="1"/>
  <c r="BD145" i="1"/>
  <c r="BE145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W146" i="1"/>
  <c r="AX146" i="1"/>
  <c r="AY146" i="1"/>
  <c r="AZ146" i="1"/>
  <c r="BA146" i="1"/>
  <c r="BB146" i="1"/>
  <c r="BC146" i="1"/>
  <c r="BD146" i="1"/>
  <c r="BE146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W147" i="1"/>
  <c r="AX147" i="1"/>
  <c r="AY147" i="1"/>
  <c r="AZ147" i="1"/>
  <c r="BA147" i="1"/>
  <c r="BB147" i="1"/>
  <c r="BC147" i="1"/>
  <c r="BD147" i="1"/>
  <c r="BE147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W148" i="1"/>
  <c r="AX148" i="1"/>
  <c r="AY148" i="1"/>
  <c r="AZ148" i="1"/>
  <c r="BA148" i="1"/>
  <c r="BB148" i="1"/>
  <c r="BC148" i="1"/>
  <c r="BD148" i="1"/>
  <c r="BE148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W149" i="1"/>
  <c r="AX149" i="1"/>
  <c r="AY149" i="1"/>
  <c r="AZ149" i="1"/>
  <c r="BA149" i="1"/>
  <c r="BB149" i="1"/>
  <c r="BC149" i="1"/>
  <c r="BD149" i="1"/>
  <c r="BE149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W150" i="1"/>
  <c r="AX150" i="1"/>
  <c r="AY150" i="1"/>
  <c r="AZ150" i="1"/>
  <c r="BA150" i="1"/>
  <c r="BB150" i="1"/>
  <c r="BC150" i="1"/>
  <c r="BD150" i="1"/>
  <c r="BE150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W151" i="1"/>
  <c r="AX151" i="1"/>
  <c r="AY151" i="1"/>
  <c r="AZ151" i="1"/>
  <c r="BA151" i="1"/>
  <c r="BB151" i="1"/>
  <c r="BC151" i="1"/>
  <c r="BD151" i="1"/>
  <c r="BE151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W152" i="1"/>
  <c r="AX152" i="1"/>
  <c r="AY152" i="1"/>
  <c r="AZ152" i="1"/>
  <c r="BA152" i="1"/>
  <c r="BB152" i="1"/>
  <c r="BC152" i="1"/>
  <c r="BD152" i="1"/>
  <c r="BE152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W153" i="1"/>
  <c r="AX153" i="1"/>
  <c r="AY153" i="1"/>
  <c r="AZ153" i="1"/>
  <c r="BA153" i="1"/>
  <c r="BB153" i="1"/>
  <c r="BC153" i="1"/>
  <c r="BD153" i="1"/>
  <c r="BE153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W154" i="1"/>
  <c r="AX154" i="1"/>
  <c r="AY154" i="1"/>
  <c r="AZ154" i="1"/>
  <c r="BA154" i="1"/>
  <c r="BB154" i="1"/>
  <c r="BC154" i="1"/>
  <c r="BD154" i="1"/>
  <c r="BE154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W155" i="1"/>
  <c r="AX155" i="1"/>
  <c r="AY155" i="1"/>
  <c r="AZ155" i="1"/>
  <c r="BA155" i="1"/>
  <c r="BB155" i="1"/>
  <c r="BC155" i="1"/>
  <c r="BD155" i="1"/>
  <c r="BE155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W156" i="1"/>
  <c r="AX156" i="1"/>
  <c r="AY156" i="1"/>
  <c r="AZ156" i="1"/>
  <c r="BA156" i="1"/>
  <c r="BB156" i="1"/>
  <c r="BC156" i="1"/>
  <c r="BD156" i="1"/>
  <c r="BE156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W157" i="1"/>
  <c r="AX157" i="1"/>
  <c r="AY157" i="1"/>
  <c r="AZ157" i="1"/>
  <c r="BA157" i="1"/>
  <c r="BB157" i="1"/>
  <c r="BC157" i="1"/>
  <c r="BD157" i="1"/>
  <c r="BE157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W158" i="1"/>
  <c r="AX158" i="1"/>
  <c r="AY158" i="1"/>
  <c r="AZ158" i="1"/>
  <c r="BA158" i="1"/>
  <c r="BB158" i="1"/>
  <c r="BC158" i="1"/>
  <c r="BD158" i="1"/>
  <c r="BE158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W159" i="1"/>
  <c r="AX159" i="1"/>
  <c r="AY159" i="1"/>
  <c r="AZ159" i="1"/>
  <c r="BA159" i="1"/>
  <c r="BB159" i="1"/>
  <c r="BC159" i="1"/>
  <c r="BD159" i="1"/>
  <c r="BE159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W160" i="1"/>
  <c r="AX160" i="1"/>
  <c r="AY160" i="1"/>
  <c r="AZ160" i="1"/>
  <c r="BA160" i="1"/>
  <c r="BB160" i="1"/>
  <c r="BC160" i="1"/>
  <c r="BD160" i="1"/>
  <c r="BE160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W161" i="1"/>
  <c r="AX161" i="1"/>
  <c r="AY161" i="1"/>
  <c r="AZ161" i="1"/>
  <c r="BA161" i="1"/>
  <c r="BB161" i="1"/>
  <c r="BC161" i="1"/>
  <c r="BD161" i="1"/>
  <c r="BE161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W162" i="1"/>
  <c r="AX162" i="1"/>
  <c r="AY162" i="1"/>
  <c r="AZ162" i="1"/>
  <c r="BA162" i="1"/>
  <c r="BB162" i="1"/>
  <c r="BC162" i="1"/>
  <c r="BD162" i="1"/>
  <c r="BE162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W163" i="1"/>
  <c r="AX163" i="1"/>
  <c r="AY163" i="1"/>
  <c r="AZ163" i="1"/>
  <c r="BA163" i="1"/>
  <c r="BB163" i="1"/>
  <c r="BC163" i="1"/>
  <c r="BD163" i="1"/>
  <c r="BE163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W164" i="1"/>
  <c r="AX164" i="1"/>
  <c r="AY164" i="1"/>
  <c r="AZ164" i="1"/>
  <c r="BA164" i="1"/>
  <c r="BB164" i="1"/>
  <c r="BC164" i="1"/>
  <c r="BD164" i="1"/>
  <c r="BE164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W165" i="1"/>
  <c r="AX165" i="1"/>
  <c r="AY165" i="1"/>
  <c r="AZ165" i="1"/>
  <c r="BA165" i="1"/>
  <c r="BB165" i="1"/>
  <c r="BC165" i="1"/>
  <c r="BD165" i="1"/>
  <c r="BE165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W166" i="1"/>
  <c r="AX166" i="1"/>
  <c r="AY166" i="1"/>
  <c r="AZ166" i="1"/>
  <c r="BA166" i="1"/>
  <c r="BB166" i="1"/>
  <c r="BC166" i="1"/>
  <c r="BD166" i="1"/>
  <c r="BE166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W167" i="1"/>
  <c r="AX167" i="1"/>
  <c r="AY167" i="1"/>
  <c r="AZ167" i="1"/>
  <c r="BA167" i="1"/>
  <c r="BB167" i="1"/>
  <c r="BC167" i="1"/>
  <c r="BD167" i="1"/>
  <c r="BE167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W168" i="1"/>
  <c r="AX168" i="1"/>
  <c r="AY168" i="1"/>
  <c r="AZ168" i="1"/>
  <c r="BA168" i="1"/>
  <c r="BB168" i="1"/>
  <c r="BC168" i="1"/>
  <c r="BD168" i="1"/>
  <c r="BE168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W169" i="1"/>
  <c r="AX169" i="1"/>
  <c r="AY169" i="1"/>
  <c r="AZ169" i="1"/>
  <c r="BA169" i="1"/>
  <c r="BB169" i="1"/>
  <c r="BC169" i="1"/>
  <c r="BD169" i="1"/>
  <c r="BE169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W170" i="1"/>
  <c r="AX170" i="1"/>
  <c r="AY170" i="1"/>
  <c r="AZ170" i="1"/>
  <c r="BA170" i="1"/>
  <c r="BB170" i="1"/>
  <c r="BC170" i="1"/>
  <c r="BD170" i="1"/>
  <c r="BE170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W171" i="1"/>
  <c r="AX171" i="1"/>
  <c r="AY171" i="1"/>
  <c r="AZ171" i="1"/>
  <c r="BA171" i="1"/>
  <c r="BB171" i="1"/>
  <c r="BC171" i="1"/>
  <c r="BD171" i="1"/>
  <c r="BE171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W172" i="1"/>
  <c r="AX172" i="1"/>
  <c r="AY172" i="1"/>
  <c r="AZ172" i="1"/>
  <c r="BA172" i="1"/>
  <c r="BB172" i="1"/>
  <c r="BC172" i="1"/>
  <c r="BD172" i="1"/>
  <c r="BE172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W173" i="1"/>
  <c r="AX173" i="1"/>
  <c r="AY173" i="1"/>
  <c r="AZ173" i="1"/>
  <c r="BA173" i="1"/>
  <c r="BB173" i="1"/>
  <c r="BC173" i="1"/>
  <c r="BD173" i="1"/>
  <c r="BE173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W174" i="1"/>
  <c r="AX174" i="1"/>
  <c r="AY174" i="1"/>
  <c r="AZ174" i="1"/>
  <c r="BA174" i="1"/>
  <c r="BB174" i="1"/>
  <c r="BC174" i="1"/>
  <c r="BD174" i="1"/>
  <c r="BE174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W175" i="1"/>
  <c r="AX175" i="1"/>
  <c r="AY175" i="1"/>
  <c r="AZ175" i="1"/>
  <c r="BA175" i="1"/>
  <c r="BB175" i="1"/>
  <c r="BC175" i="1"/>
  <c r="BD175" i="1"/>
  <c r="BE175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W176" i="1"/>
  <c r="AX176" i="1"/>
  <c r="AY176" i="1"/>
  <c r="AZ176" i="1"/>
  <c r="BA176" i="1"/>
  <c r="BB176" i="1"/>
  <c r="BC176" i="1"/>
  <c r="BD176" i="1"/>
  <c r="BE176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W177" i="1"/>
  <c r="AX177" i="1"/>
  <c r="AY177" i="1"/>
  <c r="AZ177" i="1"/>
  <c r="BA177" i="1"/>
  <c r="BB177" i="1"/>
  <c r="BC177" i="1"/>
  <c r="BD177" i="1"/>
  <c r="BE177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W178" i="1"/>
  <c r="AX178" i="1"/>
  <c r="AY178" i="1"/>
  <c r="AZ178" i="1"/>
  <c r="BA178" i="1"/>
  <c r="BB178" i="1"/>
  <c r="BC178" i="1"/>
  <c r="BD178" i="1"/>
  <c r="BE178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W179" i="1"/>
  <c r="AX179" i="1"/>
  <c r="AY179" i="1"/>
  <c r="AZ179" i="1"/>
  <c r="BA179" i="1"/>
  <c r="BB179" i="1"/>
  <c r="BC179" i="1"/>
  <c r="BD179" i="1"/>
  <c r="BE179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W180" i="1"/>
  <c r="AX180" i="1"/>
  <c r="AY180" i="1"/>
  <c r="AZ180" i="1"/>
  <c r="BA180" i="1"/>
  <c r="BB180" i="1"/>
  <c r="BC180" i="1"/>
  <c r="BD180" i="1"/>
  <c r="BE180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W181" i="1"/>
  <c r="AX181" i="1"/>
  <c r="AY181" i="1"/>
  <c r="AZ181" i="1"/>
  <c r="BA181" i="1"/>
  <c r="BB181" i="1"/>
  <c r="BC181" i="1"/>
  <c r="BD181" i="1"/>
  <c r="BE181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W182" i="1"/>
  <c r="AX182" i="1"/>
  <c r="AY182" i="1"/>
  <c r="AZ182" i="1"/>
  <c r="BA182" i="1"/>
  <c r="BB182" i="1"/>
  <c r="BC182" i="1"/>
  <c r="BD182" i="1"/>
  <c r="BE182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W183" i="1"/>
  <c r="AX183" i="1"/>
  <c r="AY183" i="1"/>
  <c r="AZ183" i="1"/>
  <c r="BA183" i="1"/>
  <c r="BB183" i="1"/>
  <c r="BC183" i="1"/>
  <c r="BD183" i="1"/>
  <c r="BE183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W184" i="1"/>
  <c r="AX184" i="1"/>
  <c r="AY184" i="1"/>
  <c r="AZ184" i="1"/>
  <c r="BA184" i="1"/>
  <c r="BB184" i="1"/>
  <c r="BC184" i="1"/>
  <c r="BD184" i="1"/>
  <c r="BE184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W185" i="1"/>
  <c r="AX185" i="1"/>
  <c r="AY185" i="1"/>
  <c r="AZ185" i="1"/>
  <c r="BA185" i="1"/>
  <c r="BB185" i="1"/>
  <c r="BC185" i="1"/>
  <c r="BD185" i="1"/>
  <c r="BE185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W186" i="1"/>
  <c r="AX186" i="1"/>
  <c r="AY186" i="1"/>
  <c r="AZ186" i="1"/>
  <c r="BA186" i="1"/>
  <c r="BB186" i="1"/>
  <c r="BC186" i="1"/>
  <c r="BD186" i="1"/>
  <c r="BE186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W187" i="1"/>
  <c r="AX187" i="1"/>
  <c r="AY187" i="1"/>
  <c r="AZ187" i="1"/>
  <c r="BA187" i="1"/>
  <c r="BB187" i="1"/>
  <c r="BC187" i="1"/>
  <c r="BD187" i="1"/>
  <c r="BE187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W188" i="1"/>
  <c r="AX188" i="1"/>
  <c r="AY188" i="1"/>
  <c r="AZ188" i="1"/>
  <c r="BA188" i="1"/>
  <c r="BB188" i="1"/>
  <c r="BC188" i="1"/>
  <c r="BD188" i="1"/>
  <c r="BE188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W189" i="1"/>
  <c r="AX189" i="1"/>
  <c r="AY189" i="1"/>
  <c r="AZ189" i="1"/>
  <c r="BA189" i="1"/>
  <c r="BB189" i="1"/>
  <c r="BC189" i="1"/>
  <c r="BD189" i="1"/>
  <c r="BE189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W190" i="1"/>
  <c r="AX190" i="1"/>
  <c r="AY190" i="1"/>
  <c r="AZ190" i="1"/>
  <c r="BA190" i="1"/>
  <c r="BB190" i="1"/>
  <c r="BC190" i="1"/>
  <c r="BD190" i="1"/>
  <c r="BE190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W191" i="1"/>
  <c r="AX191" i="1"/>
  <c r="AY191" i="1"/>
  <c r="AZ191" i="1"/>
  <c r="BA191" i="1"/>
  <c r="BB191" i="1"/>
  <c r="BC191" i="1"/>
  <c r="BD191" i="1"/>
  <c r="BE191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W192" i="1"/>
  <c r="AX192" i="1"/>
  <c r="AY192" i="1"/>
  <c r="AZ192" i="1"/>
  <c r="BA192" i="1"/>
  <c r="BB192" i="1"/>
  <c r="BC192" i="1"/>
  <c r="BD192" i="1"/>
  <c r="BE192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W193" i="1"/>
  <c r="AX193" i="1"/>
  <c r="AY193" i="1"/>
  <c r="AZ193" i="1"/>
  <c r="BA193" i="1"/>
  <c r="BB193" i="1"/>
  <c r="BC193" i="1"/>
  <c r="BD193" i="1"/>
  <c r="BE193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W194" i="1"/>
  <c r="AX194" i="1"/>
  <c r="AY194" i="1"/>
  <c r="AZ194" i="1"/>
  <c r="BA194" i="1"/>
  <c r="BB194" i="1"/>
  <c r="BC194" i="1"/>
  <c r="BD194" i="1"/>
  <c r="BE194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W195" i="1"/>
  <c r="AX195" i="1"/>
  <c r="AY195" i="1"/>
  <c r="AZ195" i="1"/>
  <c r="BA195" i="1"/>
  <c r="BB195" i="1"/>
  <c r="BC195" i="1"/>
  <c r="BD195" i="1"/>
  <c r="BE195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W196" i="1"/>
  <c r="AX196" i="1"/>
  <c r="AY196" i="1"/>
  <c r="AZ196" i="1"/>
  <c r="BA196" i="1"/>
  <c r="BB196" i="1"/>
  <c r="BC196" i="1"/>
  <c r="BD196" i="1"/>
  <c r="BE196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W197" i="1"/>
  <c r="AX197" i="1"/>
  <c r="AY197" i="1"/>
  <c r="AZ197" i="1"/>
  <c r="BA197" i="1"/>
  <c r="BB197" i="1"/>
  <c r="BC197" i="1"/>
  <c r="BD197" i="1"/>
  <c r="BE197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W198" i="1"/>
  <c r="AX198" i="1"/>
  <c r="AY198" i="1"/>
  <c r="AZ198" i="1"/>
  <c r="BA198" i="1"/>
  <c r="BB198" i="1"/>
  <c r="BC198" i="1"/>
  <c r="BD198" i="1"/>
  <c r="BE198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W199" i="1"/>
  <c r="AX199" i="1"/>
  <c r="AY199" i="1"/>
  <c r="AZ199" i="1"/>
  <c r="BA199" i="1"/>
  <c r="BB199" i="1"/>
  <c r="BC199" i="1"/>
  <c r="BD199" i="1"/>
  <c r="BE199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W200" i="1"/>
  <c r="AX200" i="1"/>
  <c r="AY200" i="1"/>
  <c r="AZ200" i="1"/>
  <c r="BA200" i="1"/>
  <c r="BB200" i="1"/>
  <c r="BC200" i="1"/>
  <c r="BD200" i="1"/>
  <c r="BE200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W201" i="1"/>
  <c r="AX201" i="1"/>
  <c r="AY201" i="1"/>
  <c r="AZ201" i="1"/>
  <c r="BA201" i="1"/>
  <c r="BB201" i="1"/>
  <c r="BC201" i="1"/>
  <c r="BD201" i="1"/>
  <c r="BE201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W202" i="1"/>
  <c r="AX202" i="1"/>
  <c r="AY202" i="1"/>
  <c r="AZ202" i="1"/>
  <c r="BA202" i="1"/>
  <c r="BB202" i="1"/>
  <c r="BC202" i="1"/>
  <c r="BD202" i="1"/>
  <c r="BE202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W203" i="1"/>
  <c r="AX203" i="1"/>
  <c r="AY203" i="1"/>
  <c r="AZ203" i="1"/>
  <c r="BA203" i="1"/>
  <c r="BB203" i="1"/>
  <c r="BC203" i="1"/>
  <c r="BD203" i="1"/>
  <c r="BE203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W204" i="1"/>
  <c r="AX204" i="1"/>
  <c r="AY204" i="1"/>
  <c r="AZ204" i="1"/>
  <c r="BA204" i="1"/>
  <c r="BB204" i="1"/>
  <c r="BC204" i="1"/>
  <c r="BD204" i="1"/>
  <c r="BE204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W205" i="1"/>
  <c r="AX205" i="1"/>
  <c r="AY205" i="1"/>
  <c r="AZ205" i="1"/>
  <c r="BA205" i="1"/>
  <c r="BB205" i="1"/>
  <c r="BC205" i="1"/>
  <c r="BD205" i="1"/>
  <c r="BE205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W206" i="1"/>
  <c r="AX206" i="1"/>
  <c r="AY206" i="1"/>
  <c r="AZ206" i="1"/>
  <c r="BA206" i="1"/>
  <c r="BB206" i="1"/>
  <c r="BC206" i="1"/>
  <c r="BD206" i="1"/>
  <c r="BE206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W207" i="1"/>
  <c r="AX207" i="1"/>
  <c r="AY207" i="1"/>
  <c r="AZ207" i="1"/>
  <c r="BA207" i="1"/>
  <c r="BB207" i="1"/>
  <c r="BC207" i="1"/>
  <c r="BD207" i="1"/>
  <c r="BE207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W208" i="1"/>
  <c r="AX208" i="1"/>
  <c r="AY208" i="1"/>
  <c r="AZ208" i="1"/>
  <c r="BA208" i="1"/>
  <c r="BB208" i="1"/>
  <c r="BC208" i="1"/>
  <c r="BD208" i="1"/>
  <c r="BE208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W209" i="1"/>
  <c r="AX209" i="1"/>
  <c r="AY209" i="1"/>
  <c r="AZ209" i="1"/>
  <c r="BA209" i="1"/>
  <c r="BB209" i="1"/>
  <c r="BC209" i="1"/>
  <c r="BD209" i="1"/>
  <c r="BE209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W210" i="1"/>
  <c r="AX210" i="1"/>
  <c r="AY210" i="1"/>
  <c r="AZ210" i="1"/>
  <c r="BA210" i="1"/>
  <c r="BB210" i="1"/>
  <c r="BC210" i="1"/>
  <c r="BD210" i="1"/>
  <c r="BE210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W211" i="1"/>
  <c r="AX211" i="1"/>
  <c r="AY211" i="1"/>
  <c r="AZ211" i="1"/>
  <c r="BA211" i="1"/>
  <c r="BB211" i="1"/>
  <c r="BC211" i="1"/>
  <c r="BD211" i="1"/>
  <c r="BE211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W212" i="1"/>
  <c r="AX212" i="1"/>
  <c r="AY212" i="1"/>
  <c r="AZ212" i="1"/>
  <c r="BA212" i="1"/>
  <c r="BB212" i="1"/>
  <c r="BC212" i="1"/>
  <c r="BD212" i="1"/>
  <c r="BE212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W213" i="1"/>
  <c r="AX213" i="1"/>
  <c r="AY213" i="1"/>
  <c r="AZ213" i="1"/>
  <c r="BA213" i="1"/>
  <c r="BB213" i="1"/>
  <c r="BC213" i="1"/>
  <c r="BD213" i="1"/>
  <c r="BE213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W214" i="1"/>
  <c r="AX214" i="1"/>
  <c r="AY214" i="1"/>
  <c r="AZ214" i="1"/>
  <c r="BA214" i="1"/>
  <c r="BB214" i="1"/>
  <c r="BC214" i="1"/>
  <c r="BD214" i="1"/>
  <c r="BE214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W215" i="1"/>
  <c r="AX215" i="1"/>
  <c r="AY215" i="1"/>
  <c r="AZ215" i="1"/>
  <c r="BA215" i="1"/>
  <c r="BB215" i="1"/>
  <c r="BC215" i="1"/>
  <c r="BD215" i="1"/>
  <c r="BE215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W216" i="1"/>
  <c r="AX216" i="1"/>
  <c r="AY216" i="1"/>
  <c r="AZ216" i="1"/>
  <c r="BA216" i="1"/>
  <c r="BB216" i="1"/>
  <c r="BC216" i="1"/>
  <c r="BD216" i="1"/>
  <c r="BE216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W217" i="1"/>
  <c r="AX217" i="1"/>
  <c r="AY217" i="1"/>
  <c r="AZ217" i="1"/>
  <c r="BA217" i="1"/>
  <c r="BB217" i="1"/>
  <c r="BC217" i="1"/>
  <c r="BD217" i="1"/>
  <c r="BE217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W218" i="1"/>
  <c r="AX218" i="1"/>
  <c r="AY218" i="1"/>
  <c r="AZ218" i="1"/>
  <c r="BA218" i="1"/>
  <c r="BB218" i="1"/>
  <c r="BC218" i="1"/>
  <c r="BD218" i="1"/>
  <c r="BE218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W219" i="1"/>
  <c r="AX219" i="1"/>
  <c r="AY219" i="1"/>
  <c r="AZ219" i="1"/>
  <c r="BA219" i="1"/>
  <c r="BB219" i="1"/>
  <c r="BC219" i="1"/>
  <c r="BD219" i="1"/>
  <c r="BE219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W220" i="1"/>
  <c r="AX220" i="1"/>
  <c r="AY220" i="1"/>
  <c r="AZ220" i="1"/>
  <c r="BA220" i="1"/>
  <c r="BB220" i="1"/>
  <c r="BC220" i="1"/>
  <c r="BD220" i="1"/>
  <c r="BE220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W221" i="1"/>
  <c r="AX221" i="1"/>
  <c r="AY221" i="1"/>
  <c r="AZ221" i="1"/>
  <c r="BA221" i="1"/>
  <c r="BB221" i="1"/>
  <c r="BC221" i="1"/>
  <c r="BD221" i="1"/>
  <c r="BE221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W222" i="1"/>
  <c r="AX222" i="1"/>
  <c r="AY222" i="1"/>
  <c r="AZ222" i="1"/>
  <c r="BA222" i="1"/>
  <c r="BB222" i="1"/>
  <c r="BC222" i="1"/>
  <c r="BD222" i="1"/>
  <c r="BE222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W223" i="1"/>
  <c r="AX223" i="1"/>
  <c r="AY223" i="1"/>
  <c r="AZ223" i="1"/>
  <c r="BA223" i="1"/>
  <c r="BB223" i="1"/>
  <c r="BC223" i="1"/>
  <c r="BD223" i="1"/>
  <c r="BE223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W224" i="1"/>
  <c r="AX224" i="1"/>
  <c r="AY224" i="1"/>
  <c r="AZ224" i="1"/>
  <c r="BA224" i="1"/>
  <c r="BB224" i="1"/>
  <c r="BC224" i="1"/>
  <c r="BD224" i="1"/>
  <c r="BE224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W225" i="1"/>
  <c r="AX225" i="1"/>
  <c r="AY225" i="1"/>
  <c r="AZ225" i="1"/>
  <c r="BA225" i="1"/>
  <c r="BB225" i="1"/>
  <c r="BC225" i="1"/>
  <c r="BD225" i="1"/>
  <c r="BE225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W226" i="1"/>
  <c r="AX226" i="1"/>
  <c r="AY226" i="1"/>
  <c r="AZ226" i="1"/>
  <c r="BA226" i="1"/>
  <c r="BB226" i="1"/>
  <c r="BC226" i="1"/>
  <c r="BD226" i="1"/>
  <c r="BE226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W230" i="1"/>
  <c r="AX230" i="1"/>
  <c r="AY230" i="1"/>
  <c r="AZ230" i="1"/>
  <c r="BA230" i="1"/>
  <c r="BB230" i="1"/>
  <c r="BC230" i="1"/>
  <c r="BD230" i="1"/>
  <c r="BE230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W231" i="1"/>
  <c r="AX231" i="1"/>
  <c r="AY231" i="1"/>
  <c r="AZ231" i="1"/>
  <c r="BA231" i="1"/>
  <c r="BB231" i="1"/>
  <c r="BC231" i="1"/>
  <c r="BD231" i="1"/>
  <c r="BE231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W232" i="1"/>
  <c r="AX232" i="1"/>
  <c r="AY232" i="1"/>
  <c r="AZ232" i="1"/>
  <c r="BA232" i="1"/>
  <c r="BB232" i="1"/>
  <c r="BC232" i="1"/>
  <c r="BD232" i="1"/>
  <c r="BE232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W233" i="1"/>
  <c r="AX233" i="1"/>
  <c r="AY233" i="1"/>
  <c r="AZ233" i="1"/>
  <c r="BA233" i="1"/>
  <c r="BB233" i="1"/>
  <c r="BC233" i="1"/>
  <c r="BD233" i="1"/>
  <c r="BE233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W234" i="1"/>
  <c r="AX234" i="1"/>
  <c r="AY234" i="1"/>
  <c r="AZ234" i="1"/>
  <c r="BA234" i="1"/>
  <c r="BB234" i="1"/>
  <c r="BC234" i="1"/>
  <c r="BD234" i="1"/>
  <c r="BE234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W235" i="1"/>
  <c r="AX235" i="1"/>
  <c r="AY235" i="1"/>
  <c r="AZ235" i="1"/>
  <c r="BA235" i="1"/>
  <c r="BB235" i="1"/>
  <c r="BC235" i="1"/>
  <c r="BD235" i="1"/>
  <c r="BE235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W236" i="1"/>
  <c r="AX236" i="1"/>
  <c r="AY236" i="1"/>
  <c r="AZ236" i="1"/>
  <c r="BA236" i="1"/>
  <c r="BB236" i="1"/>
  <c r="BC236" i="1"/>
  <c r="BD236" i="1"/>
  <c r="BE236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W237" i="1"/>
  <c r="AX237" i="1"/>
  <c r="AY237" i="1"/>
  <c r="AZ237" i="1"/>
  <c r="BA237" i="1"/>
  <c r="BB237" i="1"/>
  <c r="BC237" i="1"/>
  <c r="BD237" i="1"/>
  <c r="BE237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W238" i="1"/>
  <c r="AX238" i="1"/>
  <c r="AY238" i="1"/>
  <c r="AZ238" i="1"/>
  <c r="BA238" i="1"/>
  <c r="BB238" i="1"/>
  <c r="BC238" i="1"/>
  <c r="BD238" i="1"/>
  <c r="BE238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W239" i="1"/>
  <c r="AX239" i="1"/>
  <c r="AY239" i="1"/>
  <c r="AZ239" i="1"/>
  <c r="BA239" i="1"/>
  <c r="BB239" i="1"/>
  <c r="BC239" i="1"/>
  <c r="BD239" i="1"/>
  <c r="BE239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W240" i="1"/>
  <c r="AX240" i="1"/>
  <c r="AY240" i="1"/>
  <c r="AZ240" i="1"/>
  <c r="BA240" i="1"/>
  <c r="BB240" i="1"/>
  <c r="BC240" i="1"/>
  <c r="BD240" i="1"/>
  <c r="BE240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W241" i="1"/>
  <c r="AX241" i="1"/>
  <c r="AY241" i="1"/>
  <c r="AZ241" i="1"/>
  <c r="BA241" i="1"/>
  <c r="BB241" i="1"/>
  <c r="BC241" i="1"/>
  <c r="BD241" i="1"/>
  <c r="BE241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W242" i="1"/>
  <c r="AX242" i="1"/>
  <c r="AY242" i="1"/>
  <c r="AZ242" i="1"/>
  <c r="BA242" i="1"/>
  <c r="BB242" i="1"/>
  <c r="BC242" i="1"/>
  <c r="BD242" i="1"/>
  <c r="BE242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W243" i="1"/>
  <c r="AX243" i="1"/>
  <c r="AY243" i="1"/>
  <c r="AZ243" i="1"/>
  <c r="BA243" i="1"/>
  <c r="BB243" i="1"/>
  <c r="BC243" i="1"/>
  <c r="BD243" i="1"/>
  <c r="BE243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W244" i="1"/>
  <c r="AX244" i="1"/>
  <c r="AY244" i="1"/>
  <c r="AZ244" i="1"/>
  <c r="BA244" i="1"/>
  <c r="BB244" i="1"/>
  <c r="BC244" i="1"/>
  <c r="BD244" i="1"/>
  <c r="BE244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W245" i="1"/>
  <c r="AX245" i="1"/>
  <c r="AY245" i="1"/>
  <c r="AZ245" i="1"/>
  <c r="BA245" i="1"/>
  <c r="BB245" i="1"/>
  <c r="BC245" i="1"/>
  <c r="BD245" i="1"/>
  <c r="BE245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W246" i="1"/>
  <c r="AX246" i="1"/>
  <c r="AY246" i="1"/>
  <c r="AZ246" i="1"/>
  <c r="BA246" i="1"/>
  <c r="BB246" i="1"/>
  <c r="BC246" i="1"/>
  <c r="BD246" i="1"/>
  <c r="BE246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W247" i="1"/>
  <c r="AX247" i="1"/>
  <c r="AY247" i="1"/>
  <c r="AZ247" i="1"/>
  <c r="BA247" i="1"/>
  <c r="BB247" i="1"/>
  <c r="BC247" i="1"/>
  <c r="BD247" i="1"/>
  <c r="BE247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W248" i="1"/>
  <c r="AX248" i="1"/>
  <c r="AY248" i="1"/>
  <c r="AZ248" i="1"/>
  <c r="BA248" i="1"/>
  <c r="BB248" i="1"/>
  <c r="BC248" i="1"/>
  <c r="BD248" i="1"/>
  <c r="BE248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W249" i="1"/>
  <c r="AX249" i="1"/>
  <c r="AY249" i="1"/>
  <c r="AZ249" i="1"/>
  <c r="BA249" i="1"/>
  <c r="BB249" i="1"/>
  <c r="BC249" i="1"/>
  <c r="BD249" i="1"/>
  <c r="BE249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W250" i="1"/>
  <c r="AX250" i="1"/>
  <c r="AY250" i="1"/>
  <c r="AZ250" i="1"/>
  <c r="BA250" i="1"/>
  <c r="BB250" i="1"/>
  <c r="BC250" i="1"/>
  <c r="BD250" i="1"/>
  <c r="BE250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W251" i="1"/>
  <c r="AX251" i="1"/>
  <c r="AY251" i="1"/>
  <c r="AZ251" i="1"/>
  <c r="BA251" i="1"/>
  <c r="BB251" i="1"/>
  <c r="BC251" i="1"/>
  <c r="BD251" i="1"/>
  <c r="BE251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W252" i="1"/>
  <c r="AX252" i="1"/>
  <c r="AY252" i="1"/>
  <c r="AZ252" i="1"/>
  <c r="BA252" i="1"/>
  <c r="BB252" i="1"/>
  <c r="BC252" i="1"/>
  <c r="BD252" i="1"/>
  <c r="BE252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W253" i="1"/>
  <c r="AX253" i="1"/>
  <c r="AY253" i="1"/>
  <c r="AZ253" i="1"/>
  <c r="BA253" i="1"/>
  <c r="BB253" i="1"/>
  <c r="BC253" i="1"/>
  <c r="BD253" i="1"/>
  <c r="BE253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W254" i="1"/>
  <c r="AX254" i="1"/>
  <c r="AY254" i="1"/>
  <c r="AZ254" i="1"/>
  <c r="BA254" i="1"/>
  <c r="BB254" i="1"/>
  <c r="BC254" i="1"/>
  <c r="BD254" i="1"/>
  <c r="BE254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W255" i="1"/>
  <c r="AX255" i="1"/>
  <c r="AY255" i="1"/>
  <c r="AZ255" i="1"/>
  <c r="BA255" i="1"/>
  <c r="BB255" i="1"/>
  <c r="BC255" i="1"/>
  <c r="BD255" i="1"/>
  <c r="BE255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W256" i="1"/>
  <c r="AX256" i="1"/>
  <c r="AY256" i="1"/>
  <c r="AZ256" i="1"/>
  <c r="BA256" i="1"/>
  <c r="BB256" i="1"/>
  <c r="BC256" i="1"/>
  <c r="BD256" i="1"/>
  <c r="BE256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W257" i="1"/>
  <c r="AX257" i="1"/>
  <c r="AY257" i="1"/>
  <c r="AZ257" i="1"/>
  <c r="BA257" i="1"/>
  <c r="BB257" i="1"/>
  <c r="BC257" i="1"/>
  <c r="BD257" i="1"/>
  <c r="BE257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W258" i="1"/>
  <c r="AX258" i="1"/>
  <c r="AY258" i="1"/>
  <c r="AZ258" i="1"/>
  <c r="BA258" i="1"/>
  <c r="BB258" i="1"/>
  <c r="BC258" i="1"/>
  <c r="BD258" i="1"/>
  <c r="BE258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W259" i="1"/>
  <c r="AX259" i="1"/>
  <c r="AY259" i="1"/>
  <c r="AZ259" i="1"/>
  <c r="BA259" i="1"/>
  <c r="BB259" i="1"/>
  <c r="BC259" i="1"/>
  <c r="BD259" i="1"/>
  <c r="BE259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W260" i="1"/>
  <c r="AX260" i="1"/>
  <c r="AY260" i="1"/>
  <c r="AZ260" i="1"/>
  <c r="BA260" i="1"/>
  <c r="BB260" i="1"/>
  <c r="BC260" i="1"/>
  <c r="BD260" i="1"/>
  <c r="BE260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W261" i="1"/>
  <c r="AX261" i="1"/>
  <c r="AY261" i="1"/>
  <c r="AZ261" i="1"/>
  <c r="BA261" i="1"/>
  <c r="BB261" i="1"/>
  <c r="BC261" i="1"/>
  <c r="BD261" i="1"/>
  <c r="BE261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W262" i="1"/>
  <c r="AX262" i="1"/>
  <c r="AY262" i="1"/>
  <c r="AZ262" i="1"/>
  <c r="BA262" i="1"/>
  <c r="BB262" i="1"/>
  <c r="BC262" i="1"/>
  <c r="BD262" i="1"/>
  <c r="BE262" i="1"/>
  <c r="AE263" i="1"/>
  <c r="AG263" i="1"/>
  <c r="AH263" i="1"/>
  <c r="AI263" i="1"/>
  <c r="AJ263" i="1"/>
  <c r="AK263" i="1"/>
  <c r="AL263" i="1"/>
  <c r="AM263" i="1"/>
  <c r="AN263" i="1"/>
  <c r="AO263" i="1"/>
  <c r="AQ263" i="1"/>
  <c r="AW263" i="1"/>
  <c r="AY263" i="1"/>
  <c r="BH263" i="1" s="1"/>
  <c r="AE264" i="1"/>
  <c r="AG264" i="1"/>
  <c r="AH264" i="1"/>
  <c r="AI264" i="1"/>
  <c r="AJ264" i="1"/>
  <c r="AK264" i="1"/>
  <c r="AL264" i="1"/>
  <c r="AM264" i="1"/>
  <c r="AN264" i="1"/>
  <c r="AO264" i="1"/>
  <c r="AQ264" i="1"/>
  <c r="AW264" i="1"/>
  <c r="AY264" i="1"/>
  <c r="AE265" i="1"/>
  <c r="AG265" i="1"/>
  <c r="AH265" i="1"/>
  <c r="AI265" i="1"/>
  <c r="AJ265" i="1"/>
  <c r="AK265" i="1"/>
  <c r="AL265" i="1"/>
  <c r="AM265" i="1"/>
  <c r="AN265" i="1"/>
  <c r="AO265" i="1"/>
  <c r="AQ265" i="1"/>
  <c r="AW265" i="1"/>
  <c r="AY265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W269" i="1"/>
  <c r="AX269" i="1"/>
  <c r="AY269" i="1"/>
  <c r="AZ269" i="1"/>
  <c r="BA269" i="1"/>
  <c r="BB269" i="1"/>
  <c r="BC269" i="1"/>
  <c r="BD269" i="1"/>
  <c r="BE269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W270" i="1"/>
  <c r="AX270" i="1"/>
  <c r="AY270" i="1"/>
  <c r="AZ270" i="1"/>
  <c r="BA270" i="1"/>
  <c r="BB270" i="1"/>
  <c r="BC270" i="1"/>
  <c r="BD270" i="1"/>
  <c r="BE270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W271" i="1"/>
  <c r="AX271" i="1"/>
  <c r="AY271" i="1"/>
  <c r="AZ271" i="1"/>
  <c r="BA271" i="1"/>
  <c r="BB271" i="1"/>
  <c r="BC271" i="1"/>
  <c r="BD271" i="1"/>
  <c r="BE271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W272" i="1"/>
  <c r="AX272" i="1"/>
  <c r="AY272" i="1"/>
  <c r="AZ272" i="1"/>
  <c r="BA272" i="1"/>
  <c r="BB272" i="1"/>
  <c r="BC272" i="1"/>
  <c r="BD272" i="1"/>
  <c r="BE272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W273" i="1"/>
  <c r="AX273" i="1"/>
  <c r="AY273" i="1"/>
  <c r="AZ273" i="1"/>
  <c r="BA273" i="1"/>
  <c r="BB273" i="1"/>
  <c r="BC273" i="1"/>
  <c r="BD273" i="1"/>
  <c r="BE273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W274" i="1"/>
  <c r="AX274" i="1"/>
  <c r="AY274" i="1"/>
  <c r="AZ274" i="1"/>
  <c r="BA274" i="1"/>
  <c r="BB274" i="1"/>
  <c r="BC274" i="1"/>
  <c r="BD274" i="1"/>
  <c r="BE274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W275" i="1"/>
  <c r="AX275" i="1"/>
  <c r="AY275" i="1"/>
  <c r="AZ275" i="1"/>
  <c r="BA275" i="1"/>
  <c r="BB275" i="1"/>
  <c r="BC275" i="1"/>
  <c r="BD275" i="1"/>
  <c r="BE275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W276" i="1"/>
  <c r="AX276" i="1"/>
  <c r="AY276" i="1"/>
  <c r="AZ276" i="1"/>
  <c r="BA276" i="1"/>
  <c r="BB276" i="1"/>
  <c r="BC276" i="1"/>
  <c r="BD276" i="1"/>
  <c r="BE276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W277" i="1"/>
  <c r="AX277" i="1"/>
  <c r="AY277" i="1"/>
  <c r="AZ277" i="1"/>
  <c r="BA277" i="1"/>
  <c r="BB277" i="1"/>
  <c r="BC277" i="1"/>
  <c r="BD277" i="1"/>
  <c r="BE277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W278" i="1"/>
  <c r="AX278" i="1"/>
  <c r="AY278" i="1"/>
  <c r="AZ278" i="1"/>
  <c r="BA278" i="1"/>
  <c r="BB278" i="1"/>
  <c r="BC278" i="1"/>
  <c r="BD278" i="1"/>
  <c r="BE278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W279" i="1"/>
  <c r="AX279" i="1"/>
  <c r="AY279" i="1"/>
  <c r="AZ279" i="1"/>
  <c r="BA279" i="1"/>
  <c r="BB279" i="1"/>
  <c r="BC279" i="1"/>
  <c r="BD279" i="1"/>
  <c r="BE279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W280" i="1"/>
  <c r="AX280" i="1"/>
  <c r="AY280" i="1"/>
  <c r="AZ280" i="1"/>
  <c r="BA280" i="1"/>
  <c r="BB280" i="1"/>
  <c r="BC280" i="1"/>
  <c r="BD280" i="1"/>
  <c r="BE280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W281" i="1"/>
  <c r="AX281" i="1"/>
  <c r="AY281" i="1"/>
  <c r="AZ281" i="1"/>
  <c r="BA281" i="1"/>
  <c r="BB281" i="1"/>
  <c r="BC281" i="1"/>
  <c r="BD281" i="1"/>
  <c r="BE281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W282" i="1"/>
  <c r="AX282" i="1"/>
  <c r="AY282" i="1"/>
  <c r="AZ282" i="1"/>
  <c r="BA282" i="1"/>
  <c r="BB282" i="1"/>
  <c r="BC282" i="1"/>
  <c r="BD282" i="1"/>
  <c r="BE282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W283" i="1"/>
  <c r="AX283" i="1"/>
  <c r="AY283" i="1"/>
  <c r="AZ283" i="1"/>
  <c r="BA283" i="1"/>
  <c r="BB283" i="1"/>
  <c r="BC283" i="1"/>
  <c r="BD283" i="1"/>
  <c r="BE283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W284" i="1"/>
  <c r="AX284" i="1"/>
  <c r="AY284" i="1"/>
  <c r="AZ284" i="1"/>
  <c r="BA284" i="1"/>
  <c r="BB284" i="1"/>
  <c r="BC284" i="1"/>
  <c r="BD284" i="1"/>
  <c r="BE284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W285" i="1"/>
  <c r="AX285" i="1"/>
  <c r="AY285" i="1"/>
  <c r="AZ285" i="1"/>
  <c r="BA285" i="1"/>
  <c r="BB285" i="1"/>
  <c r="BC285" i="1"/>
  <c r="BD285" i="1"/>
  <c r="BE285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W286" i="1"/>
  <c r="AX286" i="1"/>
  <c r="AY286" i="1"/>
  <c r="AZ286" i="1"/>
  <c r="BA286" i="1"/>
  <c r="BB286" i="1"/>
  <c r="BC286" i="1"/>
  <c r="BD286" i="1"/>
  <c r="BE286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W287" i="1"/>
  <c r="AX287" i="1"/>
  <c r="AY287" i="1"/>
  <c r="AZ287" i="1"/>
  <c r="BA287" i="1"/>
  <c r="BB287" i="1"/>
  <c r="BC287" i="1"/>
  <c r="BD287" i="1"/>
  <c r="BE287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W288" i="1"/>
  <c r="AX288" i="1"/>
  <c r="AY288" i="1"/>
  <c r="AZ288" i="1"/>
  <c r="BA288" i="1"/>
  <c r="BB288" i="1"/>
  <c r="BC288" i="1"/>
  <c r="BD288" i="1"/>
  <c r="BE288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W289" i="1"/>
  <c r="AX289" i="1"/>
  <c r="AY289" i="1"/>
  <c r="AZ289" i="1"/>
  <c r="BA289" i="1"/>
  <c r="BB289" i="1"/>
  <c r="BC289" i="1"/>
  <c r="BD289" i="1"/>
  <c r="BE289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W290" i="1"/>
  <c r="AX290" i="1"/>
  <c r="AY290" i="1"/>
  <c r="AZ290" i="1"/>
  <c r="BA290" i="1"/>
  <c r="BB290" i="1"/>
  <c r="BC290" i="1"/>
  <c r="BD290" i="1"/>
  <c r="BE290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W291" i="1"/>
  <c r="AX291" i="1"/>
  <c r="AY291" i="1"/>
  <c r="AZ291" i="1"/>
  <c r="BA291" i="1"/>
  <c r="BB291" i="1"/>
  <c r="BC291" i="1"/>
  <c r="BD291" i="1"/>
  <c r="BE291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W292" i="1"/>
  <c r="AX292" i="1"/>
  <c r="AY292" i="1"/>
  <c r="AZ292" i="1"/>
  <c r="BA292" i="1"/>
  <c r="BB292" i="1"/>
  <c r="BC292" i="1"/>
  <c r="BD292" i="1"/>
  <c r="BE292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W293" i="1"/>
  <c r="AX293" i="1"/>
  <c r="AY293" i="1"/>
  <c r="AZ293" i="1"/>
  <c r="BA293" i="1"/>
  <c r="BB293" i="1"/>
  <c r="BC293" i="1"/>
  <c r="BD293" i="1"/>
  <c r="BE293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W294" i="1"/>
  <c r="AX294" i="1"/>
  <c r="AY294" i="1"/>
  <c r="AZ294" i="1"/>
  <c r="BA294" i="1"/>
  <c r="BB294" i="1"/>
  <c r="BC294" i="1"/>
  <c r="BD294" i="1"/>
  <c r="BE294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W295" i="1"/>
  <c r="AX295" i="1"/>
  <c r="AY295" i="1"/>
  <c r="AZ295" i="1"/>
  <c r="BA295" i="1"/>
  <c r="BB295" i="1"/>
  <c r="BC295" i="1"/>
  <c r="BD295" i="1"/>
  <c r="BE295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W296" i="1"/>
  <c r="AX296" i="1"/>
  <c r="AY296" i="1"/>
  <c r="AZ296" i="1"/>
  <c r="BA296" i="1"/>
  <c r="BB296" i="1"/>
  <c r="BC296" i="1"/>
  <c r="BD296" i="1"/>
  <c r="BE296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W297" i="1"/>
  <c r="AX297" i="1"/>
  <c r="AY297" i="1"/>
  <c r="AZ297" i="1"/>
  <c r="BA297" i="1"/>
  <c r="BB297" i="1"/>
  <c r="BC297" i="1"/>
  <c r="BD297" i="1"/>
  <c r="BE297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W298" i="1"/>
  <c r="AX298" i="1"/>
  <c r="AY298" i="1"/>
  <c r="AZ298" i="1"/>
  <c r="BA298" i="1"/>
  <c r="BB298" i="1"/>
  <c r="BC298" i="1"/>
  <c r="BD298" i="1"/>
  <c r="BE298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W299" i="1"/>
  <c r="AX299" i="1"/>
  <c r="AY299" i="1"/>
  <c r="AZ299" i="1"/>
  <c r="BA299" i="1"/>
  <c r="BB299" i="1"/>
  <c r="BC299" i="1"/>
  <c r="BD299" i="1"/>
  <c r="BE299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W300" i="1"/>
  <c r="AX300" i="1"/>
  <c r="AY300" i="1"/>
  <c r="AZ300" i="1"/>
  <c r="BA300" i="1"/>
  <c r="BB300" i="1"/>
  <c r="BC300" i="1"/>
  <c r="BD300" i="1"/>
  <c r="BE300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W301" i="1"/>
  <c r="AX301" i="1"/>
  <c r="AY301" i="1"/>
  <c r="AZ301" i="1"/>
  <c r="BA301" i="1"/>
  <c r="BB301" i="1"/>
  <c r="BC301" i="1"/>
  <c r="BD301" i="1"/>
  <c r="BE301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W302" i="1"/>
  <c r="AX302" i="1"/>
  <c r="AY302" i="1"/>
  <c r="AZ302" i="1"/>
  <c r="BA302" i="1"/>
  <c r="BB302" i="1"/>
  <c r="BC302" i="1"/>
  <c r="BD302" i="1"/>
  <c r="BE302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W303" i="1"/>
  <c r="AX303" i="1"/>
  <c r="AY303" i="1"/>
  <c r="AZ303" i="1"/>
  <c r="BA303" i="1"/>
  <c r="BB303" i="1"/>
  <c r="BC303" i="1"/>
  <c r="BD303" i="1"/>
  <c r="BE303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W304" i="1"/>
  <c r="AX304" i="1"/>
  <c r="AY304" i="1"/>
  <c r="AZ304" i="1"/>
  <c r="BA304" i="1"/>
  <c r="BB304" i="1"/>
  <c r="BC304" i="1"/>
  <c r="BD304" i="1"/>
  <c r="BE304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W305" i="1"/>
  <c r="AX305" i="1"/>
  <c r="AY305" i="1"/>
  <c r="AZ305" i="1"/>
  <c r="BA305" i="1"/>
  <c r="BB305" i="1"/>
  <c r="BC305" i="1"/>
  <c r="BD305" i="1"/>
  <c r="BE305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W306" i="1"/>
  <c r="AX306" i="1"/>
  <c r="AY306" i="1"/>
  <c r="AZ306" i="1"/>
  <c r="BA306" i="1"/>
  <c r="BB306" i="1"/>
  <c r="BC306" i="1"/>
  <c r="BD306" i="1"/>
  <c r="BE306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W307" i="1"/>
  <c r="AX307" i="1"/>
  <c r="AY307" i="1"/>
  <c r="AZ307" i="1"/>
  <c r="BA307" i="1"/>
  <c r="BB307" i="1"/>
  <c r="BC307" i="1"/>
  <c r="BD307" i="1"/>
  <c r="BE307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W308" i="1"/>
  <c r="AX308" i="1"/>
  <c r="AY308" i="1"/>
  <c r="AZ308" i="1"/>
  <c r="BA308" i="1"/>
  <c r="BB308" i="1"/>
  <c r="BC308" i="1"/>
  <c r="BD308" i="1"/>
  <c r="BE308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W309" i="1"/>
  <c r="AX309" i="1"/>
  <c r="AY309" i="1"/>
  <c r="AZ309" i="1"/>
  <c r="BA309" i="1"/>
  <c r="BB309" i="1"/>
  <c r="BC309" i="1"/>
  <c r="BD309" i="1"/>
  <c r="BE309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W310" i="1"/>
  <c r="AX310" i="1"/>
  <c r="AY310" i="1"/>
  <c r="AZ310" i="1"/>
  <c r="BA310" i="1"/>
  <c r="BB310" i="1"/>
  <c r="BC310" i="1"/>
  <c r="BD310" i="1"/>
  <c r="BE310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W311" i="1"/>
  <c r="AX311" i="1"/>
  <c r="AY311" i="1"/>
  <c r="AZ311" i="1"/>
  <c r="BA311" i="1"/>
  <c r="BB311" i="1"/>
  <c r="BC311" i="1"/>
  <c r="BD311" i="1"/>
  <c r="BE311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W312" i="1"/>
  <c r="AX312" i="1"/>
  <c r="AY312" i="1"/>
  <c r="AZ312" i="1"/>
  <c r="BA312" i="1"/>
  <c r="BB312" i="1"/>
  <c r="BC312" i="1"/>
  <c r="BD312" i="1"/>
  <c r="BE312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W313" i="1"/>
  <c r="AX313" i="1"/>
  <c r="AY313" i="1"/>
  <c r="AZ313" i="1"/>
  <c r="BA313" i="1"/>
  <c r="BB313" i="1"/>
  <c r="BC313" i="1"/>
  <c r="BD313" i="1"/>
  <c r="BE313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W314" i="1"/>
  <c r="AX314" i="1"/>
  <c r="AY314" i="1"/>
  <c r="AZ314" i="1"/>
  <c r="BA314" i="1"/>
  <c r="BB314" i="1"/>
  <c r="BC314" i="1"/>
  <c r="BD314" i="1"/>
  <c r="BE314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W315" i="1"/>
  <c r="AX315" i="1"/>
  <c r="AY315" i="1"/>
  <c r="AZ315" i="1"/>
  <c r="BA315" i="1"/>
  <c r="BB315" i="1"/>
  <c r="BC315" i="1"/>
  <c r="BD315" i="1"/>
  <c r="BE315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W316" i="1"/>
  <c r="AX316" i="1"/>
  <c r="AY316" i="1"/>
  <c r="AZ316" i="1"/>
  <c r="BA316" i="1"/>
  <c r="BB316" i="1"/>
  <c r="BC316" i="1"/>
  <c r="BD316" i="1"/>
  <c r="BE316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W317" i="1"/>
  <c r="AX317" i="1"/>
  <c r="AY317" i="1"/>
  <c r="AZ317" i="1"/>
  <c r="BA317" i="1"/>
  <c r="BB317" i="1"/>
  <c r="BC317" i="1"/>
  <c r="BD317" i="1"/>
  <c r="BE317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W318" i="1"/>
  <c r="AX318" i="1"/>
  <c r="AY318" i="1"/>
  <c r="AZ318" i="1"/>
  <c r="BA318" i="1"/>
  <c r="BB318" i="1"/>
  <c r="BC318" i="1"/>
  <c r="BD318" i="1"/>
  <c r="BE318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W319" i="1"/>
  <c r="AX319" i="1"/>
  <c r="AY319" i="1"/>
  <c r="AZ319" i="1"/>
  <c r="BA319" i="1"/>
  <c r="BB319" i="1"/>
  <c r="BC319" i="1"/>
  <c r="BD319" i="1"/>
  <c r="BE319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W320" i="1"/>
  <c r="AX320" i="1"/>
  <c r="AY320" i="1"/>
  <c r="AZ320" i="1"/>
  <c r="BA320" i="1"/>
  <c r="BB320" i="1"/>
  <c r="BC320" i="1"/>
  <c r="BD320" i="1"/>
  <c r="BE320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W321" i="1"/>
  <c r="AX321" i="1"/>
  <c r="AY321" i="1"/>
  <c r="AZ321" i="1"/>
  <c r="BA321" i="1"/>
  <c r="BB321" i="1"/>
  <c r="BC321" i="1"/>
  <c r="BD321" i="1"/>
  <c r="BE321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W322" i="1"/>
  <c r="AX322" i="1"/>
  <c r="AY322" i="1"/>
  <c r="AZ322" i="1"/>
  <c r="BA322" i="1"/>
  <c r="BB322" i="1"/>
  <c r="BC322" i="1"/>
  <c r="BD322" i="1"/>
  <c r="BE322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W323" i="1"/>
  <c r="AX323" i="1"/>
  <c r="AY323" i="1"/>
  <c r="AZ323" i="1"/>
  <c r="BA323" i="1"/>
  <c r="BB323" i="1"/>
  <c r="BC323" i="1"/>
  <c r="BD323" i="1"/>
  <c r="BE323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W324" i="1"/>
  <c r="AX324" i="1"/>
  <c r="AY324" i="1"/>
  <c r="AZ324" i="1"/>
  <c r="BA324" i="1"/>
  <c r="BB324" i="1"/>
  <c r="BC324" i="1"/>
  <c r="BD324" i="1"/>
  <c r="BE324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W325" i="1"/>
  <c r="AX325" i="1"/>
  <c r="AY325" i="1"/>
  <c r="AZ325" i="1"/>
  <c r="BA325" i="1"/>
  <c r="BB325" i="1"/>
  <c r="BC325" i="1"/>
  <c r="BD325" i="1"/>
  <c r="BE325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W326" i="1"/>
  <c r="AX326" i="1"/>
  <c r="AY326" i="1"/>
  <c r="AZ326" i="1"/>
  <c r="BA326" i="1"/>
  <c r="BB326" i="1"/>
  <c r="BC326" i="1"/>
  <c r="BD326" i="1"/>
  <c r="BE326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W327" i="1"/>
  <c r="AX327" i="1"/>
  <c r="AY327" i="1"/>
  <c r="AZ327" i="1"/>
  <c r="BA327" i="1"/>
  <c r="BB327" i="1"/>
  <c r="BC327" i="1"/>
  <c r="BD327" i="1"/>
  <c r="BE327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W328" i="1"/>
  <c r="AX328" i="1"/>
  <c r="AY328" i="1"/>
  <c r="AZ328" i="1"/>
  <c r="BA328" i="1"/>
  <c r="BB328" i="1"/>
  <c r="BC328" i="1"/>
  <c r="BD328" i="1"/>
  <c r="BE328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W329" i="1"/>
  <c r="AX329" i="1"/>
  <c r="AY329" i="1"/>
  <c r="AZ329" i="1"/>
  <c r="BA329" i="1"/>
  <c r="BB329" i="1"/>
  <c r="BC329" i="1"/>
  <c r="BD329" i="1"/>
  <c r="BE329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W330" i="1"/>
  <c r="AX330" i="1"/>
  <c r="AY330" i="1"/>
  <c r="AZ330" i="1"/>
  <c r="BA330" i="1"/>
  <c r="BB330" i="1"/>
  <c r="BC330" i="1"/>
  <c r="BD330" i="1"/>
  <c r="BE330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W331" i="1"/>
  <c r="AX331" i="1"/>
  <c r="AY331" i="1"/>
  <c r="AZ331" i="1"/>
  <c r="BA331" i="1"/>
  <c r="BB331" i="1"/>
  <c r="BC331" i="1"/>
  <c r="BD331" i="1"/>
  <c r="BE331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W332" i="1"/>
  <c r="AX332" i="1"/>
  <c r="AY332" i="1"/>
  <c r="AZ332" i="1"/>
  <c r="BA332" i="1"/>
  <c r="BB332" i="1"/>
  <c r="BC332" i="1"/>
  <c r="BD332" i="1"/>
  <c r="BE332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W333" i="1"/>
  <c r="AX333" i="1"/>
  <c r="AY333" i="1"/>
  <c r="AZ333" i="1"/>
  <c r="BA333" i="1"/>
  <c r="BB333" i="1"/>
  <c r="BC333" i="1"/>
  <c r="BD333" i="1"/>
  <c r="BE333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W334" i="1"/>
  <c r="AX334" i="1"/>
  <c r="AY334" i="1"/>
  <c r="AZ334" i="1"/>
  <c r="BA334" i="1"/>
  <c r="BB334" i="1"/>
  <c r="BC334" i="1"/>
  <c r="BD334" i="1"/>
  <c r="BE334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W335" i="1"/>
  <c r="AX335" i="1"/>
  <c r="AY335" i="1"/>
  <c r="AZ335" i="1"/>
  <c r="BA335" i="1"/>
  <c r="BB335" i="1"/>
  <c r="BC335" i="1"/>
  <c r="BD335" i="1"/>
  <c r="BE335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W336" i="1"/>
  <c r="AX336" i="1"/>
  <c r="AY336" i="1"/>
  <c r="AZ336" i="1"/>
  <c r="BA336" i="1"/>
  <c r="BB336" i="1"/>
  <c r="BC336" i="1"/>
  <c r="BD336" i="1"/>
  <c r="BE336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W337" i="1"/>
  <c r="AX337" i="1"/>
  <c r="AY337" i="1"/>
  <c r="AZ337" i="1"/>
  <c r="BA337" i="1"/>
  <c r="BB337" i="1"/>
  <c r="BC337" i="1"/>
  <c r="BD337" i="1"/>
  <c r="BE337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W338" i="1"/>
  <c r="AX338" i="1"/>
  <c r="AY338" i="1"/>
  <c r="AZ338" i="1"/>
  <c r="BA338" i="1"/>
  <c r="BB338" i="1"/>
  <c r="BC338" i="1"/>
  <c r="BD338" i="1"/>
  <c r="BE338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W339" i="1"/>
  <c r="AX339" i="1"/>
  <c r="AY339" i="1"/>
  <c r="AZ339" i="1"/>
  <c r="BA339" i="1"/>
  <c r="BB339" i="1"/>
  <c r="BC339" i="1"/>
  <c r="BD339" i="1"/>
  <c r="BE339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W340" i="1"/>
  <c r="AX340" i="1"/>
  <c r="AY340" i="1"/>
  <c r="AZ340" i="1"/>
  <c r="BA340" i="1"/>
  <c r="BB340" i="1"/>
  <c r="BC340" i="1"/>
  <c r="BD340" i="1"/>
  <c r="BE340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W341" i="1"/>
  <c r="AX341" i="1"/>
  <c r="AY341" i="1"/>
  <c r="AZ341" i="1"/>
  <c r="BA341" i="1"/>
  <c r="BB341" i="1"/>
  <c r="BC341" i="1"/>
  <c r="BD341" i="1"/>
  <c r="BE341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W342" i="1"/>
  <c r="AX342" i="1"/>
  <c r="AY342" i="1"/>
  <c r="AZ342" i="1"/>
  <c r="BA342" i="1"/>
  <c r="BB342" i="1"/>
  <c r="BC342" i="1"/>
  <c r="BD342" i="1"/>
  <c r="BE342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W343" i="1"/>
  <c r="AX343" i="1"/>
  <c r="AY343" i="1"/>
  <c r="AZ343" i="1"/>
  <c r="BA343" i="1"/>
  <c r="BB343" i="1"/>
  <c r="BC343" i="1"/>
  <c r="BD343" i="1"/>
  <c r="BE343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W344" i="1"/>
  <c r="AX344" i="1"/>
  <c r="AY344" i="1"/>
  <c r="AZ344" i="1"/>
  <c r="BA344" i="1"/>
  <c r="BB344" i="1"/>
  <c r="BC344" i="1"/>
  <c r="BD344" i="1"/>
  <c r="BE344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W345" i="1"/>
  <c r="AX345" i="1"/>
  <c r="AY345" i="1"/>
  <c r="AZ345" i="1"/>
  <c r="BA345" i="1"/>
  <c r="BB345" i="1"/>
  <c r="BC345" i="1"/>
  <c r="BD345" i="1"/>
  <c r="BE345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W346" i="1"/>
  <c r="AX346" i="1"/>
  <c r="AY346" i="1"/>
  <c r="AZ346" i="1"/>
  <c r="BA346" i="1"/>
  <c r="BB346" i="1"/>
  <c r="BC346" i="1"/>
  <c r="BD346" i="1"/>
  <c r="BE346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W347" i="1"/>
  <c r="AX347" i="1"/>
  <c r="AY347" i="1"/>
  <c r="AZ347" i="1"/>
  <c r="BA347" i="1"/>
  <c r="BB347" i="1"/>
  <c r="BC347" i="1"/>
  <c r="BD347" i="1"/>
  <c r="BE347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W348" i="1"/>
  <c r="AX348" i="1"/>
  <c r="AY348" i="1"/>
  <c r="AZ348" i="1"/>
  <c r="BA348" i="1"/>
  <c r="BB348" i="1"/>
  <c r="BC348" i="1"/>
  <c r="BD348" i="1"/>
  <c r="BE348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W349" i="1"/>
  <c r="AX349" i="1"/>
  <c r="AY349" i="1"/>
  <c r="AZ349" i="1"/>
  <c r="BA349" i="1"/>
  <c r="BB349" i="1"/>
  <c r="BC349" i="1"/>
  <c r="BD349" i="1"/>
  <c r="BE349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W350" i="1"/>
  <c r="AX350" i="1"/>
  <c r="AY350" i="1"/>
  <c r="AZ350" i="1"/>
  <c r="BA350" i="1"/>
  <c r="BB350" i="1"/>
  <c r="BC350" i="1"/>
  <c r="BD350" i="1"/>
  <c r="BE350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W351" i="1"/>
  <c r="AX351" i="1"/>
  <c r="AY351" i="1"/>
  <c r="AZ351" i="1"/>
  <c r="BA351" i="1"/>
  <c r="BB351" i="1"/>
  <c r="BC351" i="1"/>
  <c r="BD351" i="1"/>
  <c r="BE351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W352" i="1"/>
  <c r="AX352" i="1"/>
  <c r="AY352" i="1"/>
  <c r="AZ352" i="1"/>
  <c r="BA352" i="1"/>
  <c r="BB352" i="1"/>
  <c r="BC352" i="1"/>
  <c r="BD352" i="1"/>
  <c r="BE352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W353" i="1"/>
  <c r="AX353" i="1"/>
  <c r="AY353" i="1"/>
  <c r="AZ353" i="1"/>
  <c r="BA353" i="1"/>
  <c r="BB353" i="1"/>
  <c r="BC353" i="1"/>
  <c r="BD353" i="1"/>
  <c r="BE353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W354" i="1"/>
  <c r="AX354" i="1"/>
  <c r="AY354" i="1"/>
  <c r="AZ354" i="1"/>
  <c r="BA354" i="1"/>
  <c r="BB354" i="1"/>
  <c r="BC354" i="1"/>
  <c r="BD354" i="1"/>
  <c r="BE354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W355" i="1"/>
  <c r="AX355" i="1"/>
  <c r="AY355" i="1"/>
  <c r="AZ355" i="1"/>
  <c r="BA355" i="1"/>
  <c r="BB355" i="1"/>
  <c r="BC355" i="1"/>
  <c r="BD355" i="1"/>
  <c r="BE355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W356" i="1"/>
  <c r="AX356" i="1"/>
  <c r="AY356" i="1"/>
  <c r="AZ356" i="1"/>
  <c r="BA356" i="1"/>
  <c r="BB356" i="1"/>
  <c r="BC356" i="1"/>
  <c r="BD356" i="1"/>
  <c r="BE356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W357" i="1"/>
  <c r="AX357" i="1"/>
  <c r="AY357" i="1"/>
  <c r="AZ357" i="1"/>
  <c r="BA357" i="1"/>
  <c r="BB357" i="1"/>
  <c r="BC357" i="1"/>
  <c r="BD357" i="1"/>
  <c r="BE357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W358" i="1"/>
  <c r="AX358" i="1"/>
  <c r="AY358" i="1"/>
  <c r="AZ358" i="1"/>
  <c r="BA358" i="1"/>
  <c r="BB358" i="1"/>
  <c r="BC358" i="1"/>
  <c r="BD358" i="1"/>
  <c r="BE358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W359" i="1"/>
  <c r="AX359" i="1"/>
  <c r="AY359" i="1"/>
  <c r="AZ359" i="1"/>
  <c r="BA359" i="1"/>
  <c r="BB359" i="1"/>
  <c r="BC359" i="1"/>
  <c r="BD359" i="1"/>
  <c r="BE359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W360" i="1"/>
  <c r="AX360" i="1"/>
  <c r="AY360" i="1"/>
  <c r="AZ360" i="1"/>
  <c r="BA360" i="1"/>
  <c r="BB360" i="1"/>
  <c r="BC360" i="1"/>
  <c r="BD360" i="1"/>
  <c r="BE360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W361" i="1"/>
  <c r="AX361" i="1"/>
  <c r="AY361" i="1"/>
  <c r="AZ361" i="1"/>
  <c r="BA361" i="1"/>
  <c r="BB361" i="1"/>
  <c r="BC361" i="1"/>
  <c r="BD361" i="1"/>
  <c r="BE361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W362" i="1"/>
  <c r="AX362" i="1"/>
  <c r="AY362" i="1"/>
  <c r="AZ362" i="1"/>
  <c r="BA362" i="1"/>
  <c r="BB362" i="1"/>
  <c r="BC362" i="1"/>
  <c r="BD362" i="1"/>
  <c r="BE362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W363" i="1"/>
  <c r="AX363" i="1"/>
  <c r="AY363" i="1"/>
  <c r="AZ363" i="1"/>
  <c r="BA363" i="1"/>
  <c r="BB363" i="1"/>
  <c r="BC363" i="1"/>
  <c r="BD363" i="1"/>
  <c r="BE363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W364" i="1"/>
  <c r="AX364" i="1"/>
  <c r="AY364" i="1"/>
  <c r="AZ364" i="1"/>
  <c r="BA364" i="1"/>
  <c r="BB364" i="1"/>
  <c r="BC364" i="1"/>
  <c r="BD364" i="1"/>
  <c r="BE364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W365" i="1"/>
  <c r="AX365" i="1"/>
  <c r="AY365" i="1"/>
  <c r="AZ365" i="1"/>
  <c r="BA365" i="1"/>
  <c r="BB365" i="1"/>
  <c r="BC365" i="1"/>
  <c r="BD365" i="1"/>
  <c r="BE365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W366" i="1"/>
  <c r="AX366" i="1"/>
  <c r="AY366" i="1"/>
  <c r="AZ366" i="1"/>
  <c r="BA366" i="1"/>
  <c r="BB366" i="1"/>
  <c r="BC366" i="1"/>
  <c r="BD366" i="1"/>
  <c r="BE366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W367" i="1"/>
  <c r="AX367" i="1"/>
  <c r="AY367" i="1"/>
  <c r="AZ367" i="1"/>
  <c r="BA367" i="1"/>
  <c r="BB367" i="1"/>
  <c r="BC367" i="1"/>
  <c r="BD367" i="1"/>
  <c r="BE367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W368" i="1"/>
  <c r="AX368" i="1"/>
  <c r="AY368" i="1"/>
  <c r="AZ368" i="1"/>
  <c r="BA368" i="1"/>
  <c r="BB368" i="1"/>
  <c r="BC368" i="1"/>
  <c r="BD368" i="1"/>
  <c r="BE368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W369" i="1"/>
  <c r="AX369" i="1"/>
  <c r="AY369" i="1"/>
  <c r="AZ369" i="1"/>
  <c r="BA369" i="1"/>
  <c r="BB369" i="1"/>
  <c r="BC369" i="1"/>
  <c r="BD369" i="1"/>
  <c r="BE369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W370" i="1"/>
  <c r="AX370" i="1"/>
  <c r="AY370" i="1"/>
  <c r="AZ370" i="1"/>
  <c r="BA370" i="1"/>
  <c r="BB370" i="1"/>
  <c r="BC370" i="1"/>
  <c r="BD370" i="1"/>
  <c r="BE370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W371" i="1"/>
  <c r="AX371" i="1"/>
  <c r="AY371" i="1"/>
  <c r="AZ371" i="1"/>
  <c r="BA371" i="1"/>
  <c r="BB371" i="1"/>
  <c r="BC371" i="1"/>
  <c r="BD371" i="1"/>
  <c r="BE371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W372" i="1"/>
  <c r="AX372" i="1"/>
  <c r="AY372" i="1"/>
  <c r="AZ372" i="1"/>
  <c r="BA372" i="1"/>
  <c r="BB372" i="1"/>
  <c r="BC372" i="1"/>
  <c r="BD372" i="1"/>
  <c r="BE372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W373" i="1"/>
  <c r="AX373" i="1"/>
  <c r="AY373" i="1"/>
  <c r="AZ373" i="1"/>
  <c r="BA373" i="1"/>
  <c r="BB373" i="1"/>
  <c r="BC373" i="1"/>
  <c r="BD373" i="1"/>
  <c r="BE373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W374" i="1"/>
  <c r="AX374" i="1"/>
  <c r="AY374" i="1"/>
  <c r="AZ374" i="1"/>
  <c r="BA374" i="1"/>
  <c r="BB374" i="1"/>
  <c r="BC374" i="1"/>
  <c r="BD374" i="1"/>
  <c r="BE374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W375" i="1"/>
  <c r="AX375" i="1"/>
  <c r="AY375" i="1"/>
  <c r="AZ375" i="1"/>
  <c r="BA375" i="1"/>
  <c r="BB375" i="1"/>
  <c r="BC375" i="1"/>
  <c r="BD375" i="1"/>
  <c r="BE375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W376" i="1"/>
  <c r="AX376" i="1"/>
  <c r="AY376" i="1"/>
  <c r="AZ376" i="1"/>
  <c r="BA376" i="1"/>
  <c r="BB376" i="1"/>
  <c r="BC376" i="1"/>
  <c r="BD376" i="1"/>
  <c r="BE376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W2" i="1"/>
  <c r="AX2" i="1"/>
  <c r="AY2" i="1"/>
  <c r="AZ2" i="1"/>
  <c r="BA2" i="1"/>
  <c r="BB2" i="1"/>
  <c r="BC2" i="1"/>
  <c r="BD2" i="1"/>
  <c r="BE2" i="1"/>
  <c r="AE2" i="1"/>
  <c r="AV335" i="1" l="1"/>
  <c r="BI335" i="1" s="1"/>
  <c r="BH248" i="1"/>
  <c r="BH240" i="1"/>
  <c r="BK264" i="1"/>
  <c r="AV2" i="1"/>
  <c r="BI2" i="1" s="1"/>
  <c r="AV50" i="1"/>
  <c r="BI50" i="1" s="1"/>
  <c r="AV14" i="1"/>
  <c r="BI14" i="1" s="1"/>
  <c r="AV317" i="1"/>
  <c r="BI317" i="1" s="1"/>
  <c r="AV374" i="1"/>
  <c r="BI374" i="1" s="1"/>
  <c r="AV362" i="1"/>
  <c r="BI362" i="1" s="1"/>
  <c r="AV350" i="1"/>
  <c r="BI350" i="1" s="1"/>
  <c r="AV338" i="1"/>
  <c r="BI338" i="1" s="1"/>
  <c r="AV326" i="1"/>
  <c r="BI326" i="1" s="1"/>
  <c r="AV278" i="1"/>
  <c r="BI278" i="1" s="1"/>
  <c r="BG140" i="1"/>
  <c r="BG132" i="1"/>
  <c r="BG88" i="1"/>
  <c r="BG80" i="1"/>
  <c r="BG76" i="1"/>
  <c r="BG72" i="1"/>
  <c r="BG68" i="1"/>
  <c r="BG64" i="1"/>
  <c r="BG60" i="1"/>
  <c r="BG52" i="1"/>
  <c r="BG48" i="1"/>
  <c r="BG44" i="1"/>
  <c r="BH265" i="1"/>
  <c r="BH105" i="1"/>
  <c r="BH103" i="1"/>
  <c r="BK34" i="1"/>
  <c r="AV41" i="1"/>
  <c r="BI41" i="1" s="1"/>
  <c r="AV29" i="1"/>
  <c r="BI29" i="1" s="1"/>
  <c r="BI207" i="1"/>
  <c r="BI195" i="1"/>
  <c r="BI193" i="1"/>
  <c r="BI171" i="1"/>
  <c r="BI159" i="1"/>
  <c r="BI147" i="1"/>
  <c r="BJ130" i="1"/>
  <c r="BK128" i="1"/>
  <c r="BI123" i="1"/>
  <c r="BI111" i="1"/>
  <c r="BI105" i="1"/>
  <c r="BI99" i="1"/>
  <c r="BI87" i="1"/>
  <c r="BI75" i="1"/>
  <c r="BI63" i="1"/>
  <c r="BI51" i="1"/>
  <c r="BI43" i="1"/>
  <c r="BI39" i="1"/>
  <c r="BI31" i="1"/>
  <c r="BI27" i="1"/>
  <c r="BI19" i="1"/>
  <c r="BI7" i="1"/>
  <c r="BK268" i="1"/>
  <c r="AV26" i="1"/>
  <c r="BI26" i="1" s="1"/>
  <c r="BI258" i="1"/>
  <c r="BI246" i="1"/>
  <c r="BI234" i="1"/>
  <c r="BI219" i="1"/>
  <c r="BH82" i="1"/>
  <c r="BH80" i="1"/>
  <c r="BH76" i="1"/>
  <c r="BH72" i="1"/>
  <c r="BH68" i="1"/>
  <c r="BH66" i="1"/>
  <c r="BH64" i="1"/>
  <c r="BH60" i="1"/>
  <c r="BH56" i="1"/>
  <c r="BH52" i="1"/>
  <c r="BH48" i="1"/>
  <c r="BH44" i="1"/>
  <c r="BH42" i="1"/>
  <c r="BH40" i="1"/>
  <c r="BH36" i="1"/>
  <c r="BH32" i="1"/>
  <c r="BH28" i="1"/>
  <c r="BH24" i="1"/>
  <c r="BH20" i="1"/>
  <c r="BH16" i="1"/>
  <c r="BH12" i="1"/>
  <c r="BH8" i="1"/>
  <c r="BH4" i="1"/>
  <c r="BG217" i="1"/>
  <c r="BK143" i="1"/>
  <c r="BG141" i="1"/>
  <c r="BK139" i="1"/>
  <c r="BK135" i="1"/>
  <c r="BK131" i="1"/>
  <c r="BK127" i="1"/>
  <c r="BJ125" i="1"/>
  <c r="BK123" i="1"/>
  <c r="BK119" i="1"/>
  <c r="BK115" i="1"/>
  <c r="BK111" i="1"/>
  <c r="BK107" i="1"/>
  <c r="BK103" i="1"/>
  <c r="BK99" i="1"/>
  <c r="BK95" i="1"/>
  <c r="BK91" i="1"/>
  <c r="BK87" i="1"/>
  <c r="BK83" i="1"/>
  <c r="BG259" i="1"/>
  <c r="BG172" i="1"/>
  <c r="BI262" i="1"/>
  <c r="BG250" i="1"/>
  <c r="BI199" i="1"/>
  <c r="BI187" i="1"/>
  <c r="BI175" i="1"/>
  <c r="BI163" i="1"/>
  <c r="BI151" i="1"/>
  <c r="BI127" i="1"/>
  <c r="BG224" i="1"/>
  <c r="BG164" i="1"/>
  <c r="BH361" i="1"/>
  <c r="BH357" i="1"/>
  <c r="BH353" i="1"/>
  <c r="BH349" i="1"/>
  <c r="BH345" i="1"/>
  <c r="BH341" i="1"/>
  <c r="BH337" i="1"/>
  <c r="BH333" i="1"/>
  <c r="BJ332" i="1"/>
  <c r="BH329" i="1"/>
  <c r="BH327" i="1"/>
  <c r="BH325" i="1"/>
  <c r="BH321" i="1"/>
  <c r="BH317" i="1"/>
  <c r="BH315" i="1"/>
  <c r="BH313" i="1"/>
  <c r="BH309" i="1"/>
  <c r="BJ308" i="1"/>
  <c r="BH305" i="1"/>
  <c r="BH301" i="1"/>
  <c r="BJ300" i="1"/>
  <c r="BH297" i="1"/>
  <c r="BJ296" i="1"/>
  <c r="BH293" i="1"/>
  <c r="BH289" i="1"/>
  <c r="BH285" i="1"/>
  <c r="BH281" i="1"/>
  <c r="BJ280" i="1"/>
  <c r="BH279" i="1"/>
  <c r="BH277" i="1"/>
  <c r="BJ276" i="1"/>
  <c r="BH275" i="1"/>
  <c r="BH273" i="1"/>
  <c r="BH269" i="1"/>
  <c r="BK262" i="1"/>
  <c r="BK258" i="1"/>
  <c r="BI255" i="1"/>
  <c r="BK254" i="1"/>
  <c r="BI253" i="1"/>
  <c r="BK250" i="1"/>
  <c r="BK246" i="1"/>
  <c r="BK242" i="1"/>
  <c r="BI241" i="1"/>
  <c r="BK238" i="1"/>
  <c r="BK234" i="1"/>
  <c r="BG247" i="1"/>
  <c r="BG204" i="1"/>
  <c r="BG192" i="1"/>
  <c r="BH243" i="1"/>
  <c r="BH196" i="1"/>
  <c r="BJ191" i="1"/>
  <c r="BK2" i="1"/>
  <c r="BH375" i="1"/>
  <c r="BH373" i="1"/>
  <c r="BH369" i="1"/>
  <c r="BJ368" i="1"/>
  <c r="BH365" i="1"/>
  <c r="AV158" i="1"/>
  <c r="BI158" i="1" s="1"/>
  <c r="AV146" i="1"/>
  <c r="BI146" i="1" s="1"/>
  <c r="BK230" i="1"/>
  <c r="BK223" i="1"/>
  <c r="BK219" i="1"/>
  <c r="BK215" i="1"/>
  <c r="BK211" i="1"/>
  <c r="BK207" i="1"/>
  <c r="BK203" i="1"/>
  <c r="BK199" i="1"/>
  <c r="BK195" i="1"/>
  <c r="BK191" i="1"/>
  <c r="BK187" i="1"/>
  <c r="BK183" i="1"/>
  <c r="BK179" i="1"/>
  <c r="BK175" i="1"/>
  <c r="BK171" i="1"/>
  <c r="BK167" i="1"/>
  <c r="BK163" i="1"/>
  <c r="BK159" i="1"/>
  <c r="BK155" i="1"/>
  <c r="BK151" i="1"/>
  <c r="BK147" i="1"/>
  <c r="BK79" i="1"/>
  <c r="BK75" i="1"/>
  <c r="BK71" i="1"/>
  <c r="BK67" i="1"/>
  <c r="BK63" i="1"/>
  <c r="BK59" i="1"/>
  <c r="BK55" i="1"/>
  <c r="BK51" i="1"/>
  <c r="BK47" i="1"/>
  <c r="BK43" i="1"/>
  <c r="BK39" i="1"/>
  <c r="BK35" i="1"/>
  <c r="BK31" i="1"/>
  <c r="BK27" i="1"/>
  <c r="BK23" i="1"/>
  <c r="BK19" i="1"/>
  <c r="BK15" i="1"/>
  <c r="BJ13" i="1"/>
  <c r="BK11" i="1"/>
  <c r="BK7" i="1"/>
  <c r="BJ5" i="1"/>
  <c r="BK3" i="1"/>
  <c r="BH2" i="1"/>
  <c r="BK376" i="1"/>
  <c r="BI375" i="1"/>
  <c r="BK372" i="1"/>
  <c r="BK368" i="1"/>
  <c r="BK364" i="1"/>
  <c r="BI363" i="1"/>
  <c r="BK360" i="1"/>
  <c r="BK356" i="1"/>
  <c r="BI355" i="1"/>
  <c r="BK352" i="1"/>
  <c r="BI351" i="1"/>
  <c r="BK348" i="1"/>
  <c r="BK344" i="1"/>
  <c r="BI343" i="1"/>
  <c r="BK340" i="1"/>
  <c r="BI339" i="1"/>
  <c r="BK336" i="1"/>
  <c r="BK332" i="1"/>
  <c r="BI331" i="1"/>
  <c r="BK328" i="1"/>
  <c r="BI327" i="1"/>
  <c r="BK324" i="1"/>
  <c r="BK320" i="1"/>
  <c r="BI319" i="1"/>
  <c r="BK316" i="1"/>
  <c r="BI315" i="1"/>
  <c r="BK312" i="1"/>
  <c r="BK308" i="1"/>
  <c r="BI307" i="1"/>
  <c r="BK304" i="1"/>
  <c r="BI303" i="1"/>
  <c r="AV305" i="1"/>
  <c r="BI305" i="1" s="1"/>
  <c r="AV119" i="1"/>
  <c r="BI119" i="1" s="1"/>
  <c r="AV107" i="1"/>
  <c r="BI107" i="1" s="1"/>
  <c r="AV95" i="1"/>
  <c r="BI95" i="1" s="1"/>
  <c r="AV83" i="1"/>
  <c r="BI83" i="1" s="1"/>
  <c r="AV71" i="1"/>
  <c r="BI71" i="1" s="1"/>
  <c r="AV59" i="1"/>
  <c r="BI59" i="1" s="1"/>
  <c r="AV11" i="1"/>
  <c r="BI11" i="1" s="1"/>
  <c r="AV164" i="1"/>
  <c r="BI164" i="1" s="1"/>
  <c r="AV116" i="1"/>
  <c r="BI116" i="1" s="1"/>
  <c r="AV92" i="1"/>
  <c r="AV68" i="1"/>
  <c r="BI68" i="1" s="1"/>
  <c r="BJ284" i="1"/>
  <c r="BI261" i="1"/>
  <c r="BI249" i="1"/>
  <c r="BI237" i="1"/>
  <c r="AV134" i="1"/>
  <c r="BI134" i="1" s="1"/>
  <c r="AV86" i="1"/>
  <c r="BI86" i="1" s="1"/>
  <c r="AV74" i="1"/>
  <c r="BI74" i="1" s="1"/>
  <c r="BH372" i="1"/>
  <c r="BH356" i="1"/>
  <c r="BH340" i="1"/>
  <c r="BH336" i="1"/>
  <c r="BH308" i="1"/>
  <c r="BH304" i="1"/>
  <c r="BH300" i="1"/>
  <c r="BH296" i="1"/>
  <c r="BH292" i="1"/>
  <c r="BH288" i="1"/>
  <c r="BH284" i="1"/>
  <c r="BH282" i="1"/>
  <c r="BH280" i="1"/>
  <c r="BH276" i="1"/>
  <c r="BH272" i="1"/>
  <c r="AV293" i="1"/>
  <c r="BI293" i="1" s="1"/>
  <c r="AV242" i="1"/>
  <c r="BI242" i="1" s="1"/>
  <c r="AV230" i="1"/>
  <c r="BI230" i="1" s="1"/>
  <c r="AV215" i="1"/>
  <c r="BI215" i="1" s="1"/>
  <c r="AV203" i="1"/>
  <c r="BI203" i="1" s="1"/>
  <c r="AV191" i="1"/>
  <c r="BI191" i="1" s="1"/>
  <c r="AV179" i="1"/>
  <c r="BI179" i="1" s="1"/>
  <c r="BG292" i="1"/>
  <c r="BG280" i="1"/>
  <c r="BH376" i="1"/>
  <c r="BH368" i="1"/>
  <c r="BH364" i="1"/>
  <c r="BH360" i="1"/>
  <c r="BH352" i="1"/>
  <c r="BH348" i="1"/>
  <c r="BH344" i="1"/>
  <c r="BH332" i="1"/>
  <c r="BH328" i="1"/>
  <c r="BH324" i="1"/>
  <c r="BH320" i="1"/>
  <c r="BH316" i="1"/>
  <c r="BH312" i="1"/>
  <c r="BK375" i="1"/>
  <c r="BK371" i="1"/>
  <c r="BK367" i="1"/>
  <c r="AV35" i="1"/>
  <c r="BI35" i="1" s="1"/>
  <c r="BG356" i="1"/>
  <c r="BI276" i="1"/>
  <c r="BK121" i="1"/>
  <c r="BG119" i="1"/>
  <c r="BK117" i="1"/>
  <c r="BK113" i="1"/>
  <c r="BK109" i="1"/>
  <c r="BK105" i="1"/>
  <c r="BK101" i="1"/>
  <c r="BK97" i="1"/>
  <c r="BK93" i="1"/>
  <c r="BK89" i="1"/>
  <c r="BK85" i="1"/>
  <c r="BK81" i="1"/>
  <c r="BK77" i="1"/>
  <c r="BK41" i="1"/>
  <c r="BG40" i="1"/>
  <c r="BG39" i="1"/>
  <c r="BG36" i="1"/>
  <c r="BG32" i="1"/>
  <c r="BG28" i="1"/>
  <c r="BG24" i="1"/>
  <c r="BG16" i="1"/>
  <c r="BG12" i="1"/>
  <c r="BK9" i="1"/>
  <c r="BG8" i="1"/>
  <c r="BK5" i="1"/>
  <c r="BG4" i="1"/>
  <c r="AV224" i="1"/>
  <c r="BI224" i="1" s="1"/>
  <c r="AV200" i="1"/>
  <c r="BI200" i="1" s="1"/>
  <c r="BG340" i="1"/>
  <c r="BG142" i="1"/>
  <c r="BF287" i="1"/>
  <c r="BJ372" i="1"/>
  <c r="BJ304" i="1"/>
  <c r="BF265" i="1"/>
  <c r="BG253" i="1"/>
  <c r="BF248" i="1"/>
  <c r="BG245" i="1"/>
  <c r="BF244" i="1"/>
  <c r="BF240" i="1"/>
  <c r="BF363" i="1"/>
  <c r="BG362" i="1"/>
  <c r="BJ376" i="1"/>
  <c r="BF370" i="1"/>
  <c r="BJ272" i="1"/>
  <c r="BG261" i="1"/>
  <c r="BG257" i="1"/>
  <c r="BF256" i="1"/>
  <c r="BF252" i="1"/>
  <c r="BG249" i="1"/>
  <c r="BG241" i="1"/>
  <c r="BG335" i="1"/>
  <c r="BF337" i="1"/>
  <c r="BJ331" i="1"/>
  <c r="BF329" i="1"/>
  <c r="BG310" i="1"/>
  <c r="BG355" i="1"/>
  <c r="BF338" i="1"/>
  <c r="BJ375" i="1"/>
  <c r="BJ367" i="1"/>
  <c r="BJ363" i="1"/>
  <c r="BJ359" i="1"/>
  <c r="BJ355" i="1"/>
  <c r="BJ347" i="1"/>
  <c r="BJ343" i="1"/>
  <c r="BJ339" i="1"/>
  <c r="BJ335" i="1"/>
  <c r="BG330" i="1"/>
  <c r="BG326" i="1"/>
  <c r="BJ303" i="1"/>
  <c r="BF297" i="1"/>
  <c r="BI370" i="1"/>
  <c r="BK256" i="1"/>
  <c r="BK252" i="1"/>
  <c r="BK244" i="1"/>
  <c r="BK236" i="1"/>
  <c r="BK225" i="1"/>
  <c r="BK213" i="1"/>
  <c r="BK209" i="1"/>
  <c r="BK201" i="1"/>
  <c r="BK181" i="1"/>
  <c r="BK173" i="1"/>
  <c r="BK161" i="1"/>
  <c r="BK149" i="1"/>
  <c r="BK133" i="1"/>
  <c r="BK129" i="1"/>
  <c r="BI373" i="1"/>
  <c r="BG373" i="1"/>
  <c r="BG369" i="1"/>
  <c r="BG365" i="1"/>
  <c r="BG361" i="1"/>
  <c r="BG357" i="1"/>
  <c r="BG353" i="1"/>
  <c r="BG349" i="1"/>
  <c r="BG345" i="1"/>
  <c r="BG341" i="1"/>
  <c r="BG337" i="1"/>
  <c r="BI333" i="1"/>
  <c r="BG333" i="1"/>
  <c r="BG329" i="1"/>
  <c r="BG325" i="1"/>
  <c r="BI321" i="1"/>
  <c r="BG321" i="1"/>
  <c r="BG317" i="1"/>
  <c r="BK314" i="1"/>
  <c r="BG313" i="1"/>
  <c r="BG309" i="1"/>
  <c r="BG305" i="1"/>
  <c r="BG304" i="1"/>
  <c r="BG301" i="1"/>
  <c r="BF300" i="1"/>
  <c r="BG297" i="1"/>
  <c r="BF296" i="1"/>
  <c r="BG293" i="1"/>
  <c r="BG289" i="1"/>
  <c r="BG285" i="1"/>
  <c r="BG281" i="1"/>
  <c r="BG277" i="1"/>
  <c r="BG273" i="1"/>
  <c r="BG269" i="1"/>
  <c r="BF222" i="1"/>
  <c r="BJ212" i="1"/>
  <c r="BJ208" i="1"/>
  <c r="BJ196" i="1"/>
  <c r="BJ188" i="1"/>
  <c r="BJ184" i="1"/>
  <c r="BJ180" i="1"/>
  <c r="BJ176" i="1"/>
  <c r="BJ172" i="1"/>
  <c r="BJ160" i="1"/>
  <c r="BJ156" i="1"/>
  <c r="BJ148" i="1"/>
  <c r="BJ144" i="1"/>
  <c r="BG71" i="1"/>
  <c r="BG59" i="1"/>
  <c r="BG55" i="1"/>
  <c r="BG15" i="1"/>
  <c r="BG7" i="1"/>
  <c r="AV371" i="1"/>
  <c r="BI371" i="1" s="1"/>
  <c r="AV128" i="1"/>
  <c r="BI128" i="1" s="1"/>
  <c r="BJ371" i="1"/>
  <c r="BK260" i="1"/>
  <c r="BK248" i="1"/>
  <c r="BK240" i="1"/>
  <c r="BK232" i="1"/>
  <c r="BK221" i="1"/>
  <c r="BK217" i="1"/>
  <c r="BK205" i="1"/>
  <c r="BK197" i="1"/>
  <c r="BK193" i="1"/>
  <c r="BK189" i="1"/>
  <c r="BK185" i="1"/>
  <c r="BK177" i="1"/>
  <c r="BK169" i="1"/>
  <c r="BK165" i="1"/>
  <c r="BK157" i="1"/>
  <c r="BK153" i="1"/>
  <c r="BK145" i="1"/>
  <c r="BK141" i="1"/>
  <c r="BK137" i="1"/>
  <c r="BK125" i="1"/>
  <c r="BJ269" i="1"/>
  <c r="BG223" i="1"/>
  <c r="BG215" i="1"/>
  <c r="BG207" i="1"/>
  <c r="BG191" i="1"/>
  <c r="BG187" i="1"/>
  <c r="BG171" i="1"/>
  <c r="BG155" i="1"/>
  <c r="BG123" i="1"/>
  <c r="BG103" i="1"/>
  <c r="BG99" i="1"/>
  <c r="BG91" i="1"/>
  <c r="BG87" i="1"/>
  <c r="BF86" i="1"/>
  <c r="BG67" i="1"/>
  <c r="BG51" i="1"/>
  <c r="BG19" i="1"/>
  <c r="BI3" i="1"/>
  <c r="AV260" i="1"/>
  <c r="BI260" i="1" s="1"/>
  <c r="BJ79" i="1"/>
  <c r="BJ55" i="1"/>
  <c r="BK17" i="1"/>
  <c r="AV320" i="1"/>
  <c r="BI320" i="1" s="1"/>
  <c r="BG237" i="1"/>
  <c r="BF236" i="1"/>
  <c r="BG233" i="1"/>
  <c r="BF232" i="1"/>
  <c r="BI226" i="1"/>
  <c r="BG226" i="1"/>
  <c r="BF225" i="1"/>
  <c r="BI222" i="1"/>
  <c r="BG222" i="1"/>
  <c r="BF221" i="1"/>
  <c r="BG218" i="1"/>
  <c r="BF217" i="1"/>
  <c r="BI214" i="1"/>
  <c r="BG214" i="1"/>
  <c r="BF213" i="1"/>
  <c r="BI210" i="1"/>
  <c r="BG210" i="1"/>
  <c r="BF209" i="1"/>
  <c r="BG206" i="1"/>
  <c r="BI202" i="1"/>
  <c r="BG202" i="1"/>
  <c r="BF201" i="1"/>
  <c r="BI198" i="1"/>
  <c r="BG198" i="1"/>
  <c r="BF197" i="1"/>
  <c r="BG194" i="1"/>
  <c r="BF193" i="1"/>
  <c r="BI190" i="1"/>
  <c r="BG190" i="1"/>
  <c r="BF189" i="1"/>
  <c r="BI186" i="1"/>
  <c r="BG186" i="1"/>
  <c r="BF185" i="1"/>
  <c r="BG182" i="1"/>
  <c r="BF182" i="1"/>
  <c r="BF181" i="1"/>
  <c r="BI178" i="1"/>
  <c r="BG178" i="1"/>
  <c r="BF177" i="1"/>
  <c r="BI174" i="1"/>
  <c r="BG174" i="1"/>
  <c r="BF173" i="1"/>
  <c r="BG170" i="1"/>
  <c r="BF169" i="1"/>
  <c r="BI166" i="1"/>
  <c r="BG166" i="1"/>
  <c r="BF165" i="1"/>
  <c r="BI162" i="1"/>
  <c r="BG162" i="1"/>
  <c r="BF161" i="1"/>
  <c r="BG158" i="1"/>
  <c r="BF157" i="1"/>
  <c r="BI154" i="1"/>
  <c r="BG154" i="1"/>
  <c r="BF153" i="1"/>
  <c r="BI150" i="1"/>
  <c r="BG150" i="1"/>
  <c r="BF149" i="1"/>
  <c r="BG146" i="1"/>
  <c r="BF145" i="1"/>
  <c r="BI142" i="1"/>
  <c r="BF141" i="1"/>
  <c r="BI138" i="1"/>
  <c r="BG138" i="1"/>
  <c r="BF137" i="1"/>
  <c r="BG134" i="1"/>
  <c r="BI130" i="1"/>
  <c r="BG130" i="1"/>
  <c r="BF129" i="1"/>
  <c r="BI126" i="1"/>
  <c r="BG126" i="1"/>
  <c r="BF125" i="1"/>
  <c r="BG122" i="1"/>
  <c r="BF121" i="1"/>
  <c r="BI118" i="1"/>
  <c r="BG118" i="1"/>
  <c r="BF117" i="1"/>
  <c r="BI114" i="1"/>
  <c r="BG114" i="1"/>
  <c r="BF113" i="1"/>
  <c r="BG110" i="1"/>
  <c r="BI106" i="1"/>
  <c r="BG106" i="1"/>
  <c r="BF105" i="1"/>
  <c r="BI102" i="1"/>
  <c r="BG102" i="1"/>
  <c r="BF101" i="1"/>
  <c r="BG98" i="1"/>
  <c r="BF97" i="1"/>
  <c r="BI94" i="1"/>
  <c r="BG94" i="1"/>
  <c r="BF93" i="1"/>
  <c r="BI90" i="1"/>
  <c r="BG90" i="1"/>
  <c r="BF89" i="1"/>
  <c r="BG86" i="1"/>
  <c r="BF85" i="1"/>
  <c r="BI82" i="1"/>
  <c r="BG82" i="1"/>
  <c r="BF81" i="1"/>
  <c r="BI78" i="1"/>
  <c r="BG78" i="1"/>
  <c r="BF77" i="1"/>
  <c r="BG74" i="1"/>
  <c r="BF73" i="1"/>
  <c r="BI70" i="1"/>
  <c r="BG70" i="1"/>
  <c r="BF69" i="1"/>
  <c r="BI66" i="1"/>
  <c r="BG66" i="1"/>
  <c r="BF65" i="1"/>
  <c r="BG62" i="1"/>
  <c r="BF61" i="1"/>
  <c r="BI58" i="1"/>
  <c r="BG58" i="1"/>
  <c r="BI54" i="1"/>
  <c r="BG54" i="1"/>
  <c r="BF53" i="1"/>
  <c r="BG50" i="1"/>
  <c r="BI48" i="1"/>
  <c r="BI46" i="1"/>
  <c r="BG46" i="1"/>
  <c r="BF45" i="1"/>
  <c r="BI42" i="1"/>
  <c r="BG42" i="1"/>
  <c r="BF41" i="1"/>
  <c r="BG38" i="1"/>
  <c r="BF37" i="1"/>
  <c r="BI34" i="1"/>
  <c r="BG34" i="1"/>
  <c r="BF33" i="1"/>
  <c r="BI30" i="1"/>
  <c r="BG30" i="1"/>
  <c r="BF29" i="1"/>
  <c r="BG26" i="1"/>
  <c r="BF25" i="1"/>
  <c r="BI22" i="1"/>
  <c r="BG22" i="1"/>
  <c r="BF21" i="1"/>
  <c r="BI18" i="1"/>
  <c r="BG18" i="1"/>
  <c r="BF17" i="1"/>
  <c r="BG14" i="1"/>
  <c r="BI10" i="1"/>
  <c r="BG10" i="1"/>
  <c r="BF9" i="1"/>
  <c r="BI6" i="1"/>
  <c r="BG6" i="1"/>
  <c r="BF5" i="1"/>
  <c r="BI4" i="1"/>
  <c r="BF268" i="1"/>
  <c r="BJ264" i="1"/>
  <c r="AV194" i="1"/>
  <c r="BI194" i="1" s="1"/>
  <c r="BK300" i="1"/>
  <c r="BK296" i="1"/>
  <c r="BI295" i="1"/>
  <c r="BK292" i="1"/>
  <c r="BI291" i="1"/>
  <c r="BK288" i="1"/>
  <c r="BK284" i="1"/>
  <c r="BI283" i="1"/>
  <c r="BK280" i="1"/>
  <c r="BI279" i="1"/>
  <c r="BG278" i="1"/>
  <c r="BK276" i="1"/>
  <c r="BK272" i="1"/>
  <c r="BI271" i="1"/>
  <c r="BH262" i="1"/>
  <c r="BJ261" i="1"/>
  <c r="BH258" i="1"/>
  <c r="BF258" i="1"/>
  <c r="BJ257" i="1"/>
  <c r="BH254" i="1"/>
  <c r="BJ253" i="1"/>
  <c r="BH250" i="1"/>
  <c r="BJ249" i="1"/>
  <c r="BH246" i="1"/>
  <c r="BH242" i="1"/>
  <c r="BJ241" i="1"/>
  <c r="BH238" i="1"/>
  <c r="BH234" i="1"/>
  <c r="BJ233" i="1"/>
  <c r="BH230" i="1"/>
  <c r="BJ226" i="1"/>
  <c r="BF224" i="1"/>
  <c r="BH223" i="1"/>
  <c r="BF223" i="1"/>
  <c r="BJ222" i="1"/>
  <c r="BH219" i="1"/>
  <c r="BH215" i="1"/>
  <c r="BJ214" i="1"/>
  <c r="BH211" i="1"/>
  <c r="BH207" i="1"/>
  <c r="BH203" i="1"/>
  <c r="BH199" i="1"/>
  <c r="BJ198" i="1"/>
  <c r="BG197" i="1"/>
  <c r="BH195" i="1"/>
  <c r="BH193" i="1"/>
  <c r="BH191" i="1"/>
  <c r="BJ190" i="1"/>
  <c r="BH187" i="1"/>
  <c r="BH183" i="1"/>
  <c r="BH179" i="1"/>
  <c r="BH175" i="1"/>
  <c r="BJ174" i="1"/>
  <c r="BH171" i="1"/>
  <c r="BH167" i="1"/>
  <c r="BH163" i="1"/>
  <c r="BH159" i="1"/>
  <c r="BF156" i="1"/>
  <c r="BH155" i="1"/>
  <c r="BJ154" i="1"/>
  <c r="BH151" i="1"/>
  <c r="BF151" i="1"/>
  <c r="BJ150" i="1"/>
  <c r="BH147" i="1"/>
  <c r="BJ146" i="1"/>
  <c r="BH143" i="1"/>
  <c r="BH141" i="1"/>
  <c r="BH139" i="1"/>
  <c r="AV341" i="1"/>
  <c r="BI341" i="1" s="1"/>
  <c r="BF188" i="1"/>
  <c r="BI97" i="1"/>
  <c r="BG37" i="1"/>
  <c r="BI366" i="1"/>
  <c r="BK363" i="1"/>
  <c r="BK359" i="1"/>
  <c r="BI358" i="1"/>
  <c r="BK355" i="1"/>
  <c r="BI354" i="1"/>
  <c r="BK351" i="1"/>
  <c r="BK347" i="1"/>
  <c r="BI346" i="1"/>
  <c r="BK343" i="1"/>
  <c r="BI342" i="1"/>
  <c r="BK339" i="1"/>
  <c r="BK335" i="1"/>
  <c r="BI334" i="1"/>
  <c r="BK331" i="1"/>
  <c r="BI330" i="1"/>
  <c r="BK327" i="1"/>
  <c r="BK323" i="1"/>
  <c r="BI322" i="1"/>
  <c r="BK319" i="1"/>
  <c r="BI318" i="1"/>
  <c r="BK315" i="1"/>
  <c r="BK311" i="1"/>
  <c r="BI310" i="1"/>
  <c r="BK307" i="1"/>
  <c r="BI306" i="1"/>
  <c r="BK303" i="1"/>
  <c r="BG302" i="1"/>
  <c r="BK299" i="1"/>
  <c r="BI298" i="1"/>
  <c r="BK295" i="1"/>
  <c r="BI294" i="1"/>
  <c r="BK291" i="1"/>
  <c r="BK287" i="1"/>
  <c r="BI286" i="1"/>
  <c r="BK283" i="1"/>
  <c r="BI282" i="1"/>
  <c r="BK279" i="1"/>
  <c r="BK275" i="1"/>
  <c r="BI274" i="1"/>
  <c r="BK271" i="1"/>
  <c r="BI270" i="1"/>
  <c r="BH261" i="1"/>
  <c r="BH259" i="1"/>
  <c r="BH257" i="1"/>
  <c r="BH253" i="1"/>
  <c r="BH249" i="1"/>
  <c r="BH245" i="1"/>
  <c r="BH241" i="1"/>
  <c r="BG239" i="1"/>
  <c r="BH237" i="1"/>
  <c r="BH233" i="1"/>
  <c r="BH226" i="1"/>
  <c r="BH222" i="1"/>
  <c r="BH218" i="1"/>
  <c r="BH214" i="1"/>
  <c r="BH210" i="1"/>
  <c r="BH208" i="1"/>
  <c r="BH206" i="1"/>
  <c r="BH202" i="1"/>
  <c r="BH198" i="1"/>
  <c r="BH194" i="1"/>
  <c r="BH190" i="1"/>
  <c r="BH188" i="1"/>
  <c r="BH186" i="1"/>
  <c r="BH182" i="1"/>
  <c r="BH178" i="1"/>
  <c r="BH174" i="1"/>
  <c r="BH172" i="1"/>
  <c r="BH170" i="1"/>
  <c r="BH166" i="1"/>
  <c r="BH162" i="1"/>
  <c r="BH18" i="1"/>
  <c r="AV302" i="1"/>
  <c r="BI302" i="1" s="1"/>
  <c r="AV188" i="1"/>
  <c r="BI188" i="1" s="1"/>
  <c r="AV38" i="1"/>
  <c r="BI38" i="1" s="1"/>
  <c r="BJ138" i="1"/>
  <c r="BH135" i="1"/>
  <c r="BJ134" i="1"/>
  <c r="BH131" i="1"/>
  <c r="BH127" i="1"/>
  <c r="BH123" i="1"/>
  <c r="BJ122" i="1"/>
  <c r="BH119" i="1"/>
  <c r="BH115" i="1"/>
  <c r="BJ114" i="1"/>
  <c r="BF114" i="1"/>
  <c r="BG113" i="1"/>
  <c r="BH111" i="1"/>
  <c r="BJ110" i="1"/>
  <c r="BG109" i="1"/>
  <c r="BH107" i="1"/>
  <c r="BJ102" i="1"/>
  <c r="BH101" i="1"/>
  <c r="BH99" i="1"/>
  <c r="BJ98" i="1"/>
  <c r="BH95" i="1"/>
  <c r="BH91" i="1"/>
  <c r="BJ90" i="1"/>
  <c r="BG89" i="1"/>
  <c r="BH87" i="1"/>
  <c r="BH83" i="1"/>
  <c r="BJ82" i="1"/>
  <c r="BK80" i="1"/>
  <c r="BH79" i="1"/>
  <c r="BJ78" i="1"/>
  <c r="BF76" i="1"/>
  <c r="BH75" i="1"/>
  <c r="BJ74" i="1"/>
  <c r="BH71" i="1"/>
  <c r="BH67" i="1"/>
  <c r="BJ66" i="1"/>
  <c r="BH63" i="1"/>
  <c r="BJ62" i="1"/>
  <c r="BH59" i="1"/>
  <c r="BJ58" i="1"/>
  <c r="BH55" i="1"/>
  <c r="BJ54" i="1"/>
  <c r="BH51" i="1"/>
  <c r="BH47" i="1"/>
  <c r="BH45" i="1"/>
  <c r="BH43" i="1"/>
  <c r="BJ42" i="1"/>
  <c r="BH39" i="1"/>
  <c r="BF36" i="1"/>
  <c r="BH35" i="1"/>
  <c r="BJ34" i="1"/>
  <c r="BH31" i="1"/>
  <c r="BH27" i="1"/>
  <c r="BJ26" i="1"/>
  <c r="BH23" i="1"/>
  <c r="BJ22" i="1"/>
  <c r="BH19" i="1"/>
  <c r="BJ18" i="1"/>
  <c r="BG17" i="1"/>
  <c r="BH15" i="1"/>
  <c r="BH11" i="1"/>
  <c r="BJ10" i="1"/>
  <c r="BH7" i="1"/>
  <c r="BJ6" i="1"/>
  <c r="BH5" i="1"/>
  <c r="BF4" i="1"/>
  <c r="BH3" i="1"/>
  <c r="BF267" i="1"/>
  <c r="BG263" i="1"/>
  <c r="BI264" i="1"/>
  <c r="BK263" i="1"/>
  <c r="AV308" i="1"/>
  <c r="BI308" i="1" s="1"/>
  <c r="AV284" i="1"/>
  <c r="BI284" i="1" s="1"/>
  <c r="AV161" i="1"/>
  <c r="BI161" i="1" s="1"/>
  <c r="AV149" i="1"/>
  <c r="BI149" i="1" s="1"/>
  <c r="AV32" i="1"/>
  <c r="BI32" i="1" s="1"/>
  <c r="BI129" i="1"/>
  <c r="BI81" i="1"/>
  <c r="AV329" i="1"/>
  <c r="BI329" i="1" s="1"/>
  <c r="AV182" i="1"/>
  <c r="BI182" i="1" s="1"/>
  <c r="AV170" i="1"/>
  <c r="BI170" i="1" s="1"/>
  <c r="BG160" i="1"/>
  <c r="BH158" i="1"/>
  <c r="BH154" i="1"/>
  <c r="BG152" i="1"/>
  <c r="BH150" i="1"/>
  <c r="BH146" i="1"/>
  <c r="BH142" i="1"/>
  <c r="BH138" i="1"/>
  <c r="BH134" i="1"/>
  <c r="BH132" i="1"/>
  <c r="BH130" i="1"/>
  <c r="BH126" i="1"/>
  <c r="BG124" i="1"/>
  <c r="BH122" i="1"/>
  <c r="BH120" i="1"/>
  <c r="BH118" i="1"/>
  <c r="BH114" i="1"/>
  <c r="BH110" i="1"/>
  <c r="BG108" i="1"/>
  <c r="BH106" i="1"/>
  <c r="BH102" i="1"/>
  <c r="BH98" i="1"/>
  <c r="BH94" i="1"/>
  <c r="BH90" i="1"/>
  <c r="BH86" i="1"/>
  <c r="BH10" i="1"/>
  <c r="AV98" i="1"/>
  <c r="BI98" i="1" s="1"/>
  <c r="BG375" i="1"/>
  <c r="BG367" i="1"/>
  <c r="BF342" i="1"/>
  <c r="BF334" i="1"/>
  <c r="BG331" i="1"/>
  <c r="BF322" i="1"/>
  <c r="BG319" i="1"/>
  <c r="BG315" i="1"/>
  <c r="BG307" i="1"/>
  <c r="BF306" i="1"/>
  <c r="BG299" i="1"/>
  <c r="BG295" i="1"/>
  <c r="BF274" i="1"/>
  <c r="BF270" i="1"/>
  <c r="BJ245" i="1"/>
  <c r="BG205" i="1"/>
  <c r="BF200" i="1"/>
  <c r="BJ186" i="1"/>
  <c r="BJ182" i="1"/>
  <c r="BJ178" i="1"/>
  <c r="BJ158" i="1"/>
  <c r="BJ142" i="1"/>
  <c r="BF128" i="1"/>
  <c r="BJ106" i="1"/>
  <c r="BG101" i="1"/>
  <c r="BJ94" i="1"/>
  <c r="BF88" i="1"/>
  <c r="BJ86" i="1"/>
  <c r="BJ70" i="1"/>
  <c r="BF52" i="1"/>
  <c r="BG49" i="1"/>
  <c r="BJ46" i="1"/>
  <c r="BJ38" i="1"/>
  <c r="BJ30" i="1"/>
  <c r="BG25" i="1"/>
  <c r="BF15" i="1"/>
  <c r="BG268" i="1"/>
  <c r="AV365" i="1"/>
  <c r="BI365" i="1" s="1"/>
  <c r="BF2" i="1"/>
  <c r="BJ351" i="1"/>
  <c r="BJ327" i="1"/>
  <c r="BJ323" i="1"/>
  <c r="BJ319" i="1"/>
  <c r="BJ315" i="1"/>
  <c r="BJ311" i="1"/>
  <c r="BJ307" i="1"/>
  <c r="BJ299" i="1"/>
  <c r="BJ295" i="1"/>
  <c r="BJ291" i="1"/>
  <c r="BJ287" i="1"/>
  <c r="BJ283" i="1"/>
  <c r="BJ279" i="1"/>
  <c r="BJ275" i="1"/>
  <c r="BJ271" i="1"/>
  <c r="BF259" i="1"/>
  <c r="BF255" i="1"/>
  <c r="BG252" i="1"/>
  <c r="BG248" i="1"/>
  <c r="BG213" i="1"/>
  <c r="BG201" i="1"/>
  <c r="BG165" i="1"/>
  <c r="BG161" i="1"/>
  <c r="BF140" i="1"/>
  <c r="BG133" i="1"/>
  <c r="BF116" i="1"/>
  <c r="BF96" i="1"/>
  <c r="BF84" i="1"/>
  <c r="BG81" i="1"/>
  <c r="BG374" i="1"/>
  <c r="BF373" i="1"/>
  <c r="BG370" i="1"/>
  <c r="BF369" i="1"/>
  <c r="BG366" i="1"/>
  <c r="BF365" i="1"/>
  <c r="BF361" i="1"/>
  <c r="BG358" i="1"/>
  <c r="BF357" i="1"/>
  <c r="BG354" i="1"/>
  <c r="BF353" i="1"/>
  <c r="BG350" i="1"/>
  <c r="BF349" i="1"/>
  <c r="BG346" i="1"/>
  <c r="BF345" i="1"/>
  <c r="BG342" i="1"/>
  <c r="BF341" i="1"/>
  <c r="BG322" i="1"/>
  <c r="BF309" i="1"/>
  <c r="BG294" i="1"/>
  <c r="BG290" i="1"/>
  <c r="BF273" i="1"/>
  <c r="BF269" i="1"/>
  <c r="BI201" i="1"/>
  <c r="BJ292" i="1"/>
  <c r="BJ288" i="1"/>
  <c r="BJ340" i="1"/>
  <c r="BJ324" i="1"/>
  <c r="BG371" i="1"/>
  <c r="BF366" i="1"/>
  <c r="BF354" i="1"/>
  <c r="BG347" i="1"/>
  <c r="BG343" i="1"/>
  <c r="BG339" i="1"/>
  <c r="BF318" i="1"/>
  <c r="BF314" i="1"/>
  <c r="BF310" i="1"/>
  <c r="BF294" i="1"/>
  <c r="BF290" i="1"/>
  <c r="BG287" i="1"/>
  <c r="BF282" i="1"/>
  <c r="BF278" i="1"/>
  <c r="BF243" i="1"/>
  <c r="BG240" i="1"/>
  <c r="BG236" i="1"/>
  <c r="BJ218" i="1"/>
  <c r="BF212" i="1"/>
  <c r="BJ194" i="1"/>
  <c r="BG185" i="1"/>
  <c r="BG173" i="1"/>
  <c r="BF168" i="1"/>
  <c r="BG153" i="1"/>
  <c r="BG69" i="1"/>
  <c r="BG57" i="1"/>
  <c r="BF56" i="1"/>
  <c r="BF23" i="1"/>
  <c r="BJ14" i="1"/>
  <c r="BH311" i="1"/>
  <c r="BF372" i="1"/>
  <c r="BI369" i="1"/>
  <c r="BK362" i="1"/>
  <c r="BF360" i="1"/>
  <c r="BK358" i="1"/>
  <c r="BF356" i="1"/>
  <c r="BK350" i="1"/>
  <c r="BF348" i="1"/>
  <c r="BK346" i="1"/>
  <c r="BF344" i="1"/>
  <c r="BF340" i="1"/>
  <c r="BK338" i="1"/>
  <c r="BF336" i="1"/>
  <c r="BK334" i="1"/>
  <c r="BF332" i="1"/>
  <c r="BK326" i="1"/>
  <c r="BF312" i="1"/>
  <c r="BI309" i="1"/>
  <c r="BF308" i="1"/>
  <c r="BK306" i="1"/>
  <c r="BF304" i="1"/>
  <c r="BK302" i="1"/>
  <c r="BI301" i="1"/>
  <c r="BK298" i="1"/>
  <c r="BI297" i="1"/>
  <c r="BK294" i="1"/>
  <c r="BF292" i="1"/>
  <c r="BK290" i="1"/>
  <c r="BF288" i="1"/>
  <c r="BK286" i="1"/>
  <c r="BI285" i="1"/>
  <c r="BF284" i="1"/>
  <c r="BK282" i="1"/>
  <c r="BF280" i="1"/>
  <c r="BK278" i="1"/>
  <c r="BI277" i="1"/>
  <c r="BF276" i="1"/>
  <c r="BK274" i="1"/>
  <c r="BI273" i="1"/>
  <c r="BF272" i="1"/>
  <c r="BK270" i="1"/>
  <c r="BF264" i="1"/>
  <c r="BH260" i="1"/>
  <c r="BJ259" i="1"/>
  <c r="BH256" i="1"/>
  <c r="BJ255" i="1"/>
  <c r="BH252" i="1"/>
  <c r="BJ251" i="1"/>
  <c r="BJ247" i="1"/>
  <c r="BH244" i="1"/>
  <c r="BJ243" i="1"/>
  <c r="BJ239" i="1"/>
  <c r="BH236" i="1"/>
  <c r="BJ235" i="1"/>
  <c r="BH232" i="1"/>
  <c r="BJ231" i="1"/>
  <c r="BH225" i="1"/>
  <c r="BJ224" i="1"/>
  <c r="BH221" i="1"/>
  <c r="BJ220" i="1"/>
  <c r="BH173" i="1"/>
  <c r="BF130" i="1"/>
  <c r="BF110" i="1"/>
  <c r="BH93" i="1"/>
  <c r="BH81" i="1"/>
  <c r="BH77" i="1"/>
  <c r="BH41" i="1"/>
  <c r="BJ364" i="1"/>
  <c r="BJ360" i="1"/>
  <c r="BJ356" i="1"/>
  <c r="BJ352" i="1"/>
  <c r="BJ348" i="1"/>
  <c r="BJ344" i="1"/>
  <c r="BJ336" i="1"/>
  <c r="BJ328" i="1"/>
  <c r="BJ320" i="1"/>
  <c r="BJ316" i="1"/>
  <c r="BJ312" i="1"/>
  <c r="BF260" i="1"/>
  <c r="BF205" i="1"/>
  <c r="BF133" i="1"/>
  <c r="BF109" i="1"/>
  <c r="BF57" i="1"/>
  <c r="BF49" i="1"/>
  <c r="BF13" i="1"/>
  <c r="BF374" i="1"/>
  <c r="BI367" i="1"/>
  <c r="BG363" i="1"/>
  <c r="BF362" i="1"/>
  <c r="BG359" i="1"/>
  <c r="BF358" i="1"/>
  <c r="BG351" i="1"/>
  <c r="BF350" i="1"/>
  <c r="BF346" i="1"/>
  <c r="BF330" i="1"/>
  <c r="BG327" i="1"/>
  <c r="BF326" i="1"/>
  <c r="BG323" i="1"/>
  <c r="BG311" i="1"/>
  <c r="BG303" i="1"/>
  <c r="BF302" i="1"/>
  <c r="BF298" i="1"/>
  <c r="BG291" i="1"/>
  <c r="BF286" i="1"/>
  <c r="BG283" i="1"/>
  <c r="BG279" i="1"/>
  <c r="BG275" i="1"/>
  <c r="BG271" i="1"/>
  <c r="BH264" i="1"/>
  <c r="BJ237" i="1"/>
  <c r="BG225" i="1"/>
  <c r="BJ210" i="1"/>
  <c r="BJ206" i="1"/>
  <c r="BJ202" i="1"/>
  <c r="BG181" i="1"/>
  <c r="BF180" i="1"/>
  <c r="BJ170" i="1"/>
  <c r="BJ166" i="1"/>
  <c r="BJ162" i="1"/>
  <c r="BJ126" i="1"/>
  <c r="BG121" i="1"/>
  <c r="BJ118" i="1"/>
  <c r="BF104" i="1"/>
  <c r="BF100" i="1"/>
  <c r="BG97" i="1"/>
  <c r="BG77" i="1"/>
  <c r="BF68" i="1"/>
  <c r="BG61" i="1"/>
  <c r="BF55" i="1"/>
  <c r="BJ50" i="1"/>
  <c r="BG45" i="1"/>
  <c r="BF24" i="1"/>
  <c r="BG5" i="1"/>
  <c r="BG267" i="1"/>
  <c r="BG266" i="1"/>
  <c r="BH295" i="1"/>
  <c r="BI235" i="1"/>
  <c r="BI168" i="1"/>
  <c r="BF87" i="1"/>
  <c r="BF376" i="1"/>
  <c r="BK374" i="1"/>
  <c r="BK370" i="1"/>
  <c r="BF368" i="1"/>
  <c r="BK366" i="1"/>
  <c r="BF364" i="1"/>
  <c r="BI361" i="1"/>
  <c r="BI357" i="1"/>
  <c r="BK354" i="1"/>
  <c r="BF352" i="1"/>
  <c r="BI349" i="1"/>
  <c r="BI345" i="1"/>
  <c r="BK342" i="1"/>
  <c r="BI337" i="1"/>
  <c r="BK330" i="1"/>
  <c r="BF328" i="1"/>
  <c r="BI325" i="1"/>
  <c r="BF324" i="1"/>
  <c r="BK322" i="1"/>
  <c r="BF320" i="1"/>
  <c r="BK318" i="1"/>
  <c r="BF316" i="1"/>
  <c r="BI313" i="1"/>
  <c r="BK310" i="1"/>
  <c r="BI289" i="1"/>
  <c r="BG376" i="1"/>
  <c r="BF359" i="1"/>
  <c r="BH358" i="1"/>
  <c r="BF351" i="1"/>
  <c r="BH346" i="1"/>
  <c r="BG344" i="1"/>
  <c r="BF327" i="1"/>
  <c r="BG320" i="1"/>
  <c r="BF315" i="1"/>
  <c r="BG312" i="1"/>
  <c r="BF311" i="1"/>
  <c r="BH306" i="1"/>
  <c r="BF283" i="1"/>
  <c r="BH274" i="1"/>
  <c r="BG272" i="1"/>
  <c r="BG262" i="1"/>
  <c r="BG258" i="1"/>
  <c r="BF253" i="1"/>
  <c r="BF245" i="1"/>
  <c r="BF237" i="1"/>
  <c r="BF214" i="1"/>
  <c r="BF198" i="1"/>
  <c r="BF170" i="1"/>
  <c r="BF158" i="1"/>
  <c r="BF138" i="1"/>
  <c r="BF66" i="1"/>
  <c r="BF54" i="1"/>
  <c r="BF10" i="1"/>
  <c r="BG338" i="1"/>
  <c r="BG334" i="1"/>
  <c r="BF333" i="1"/>
  <c r="BF325" i="1"/>
  <c r="BF321" i="1"/>
  <c r="BG318" i="1"/>
  <c r="BF317" i="1"/>
  <c r="BG314" i="1"/>
  <c r="BF313" i="1"/>
  <c r="BG306" i="1"/>
  <c r="BF305" i="1"/>
  <c r="BF301" i="1"/>
  <c r="BG298" i="1"/>
  <c r="BF293" i="1"/>
  <c r="BF289" i="1"/>
  <c r="BG286" i="1"/>
  <c r="BF285" i="1"/>
  <c r="BG282" i="1"/>
  <c r="BF281" i="1"/>
  <c r="BF277" i="1"/>
  <c r="BG274" i="1"/>
  <c r="BG270" i="1"/>
  <c r="BJ260" i="1"/>
  <c r="BJ256" i="1"/>
  <c r="BJ252" i="1"/>
  <c r="BJ248" i="1"/>
  <c r="BJ244" i="1"/>
  <c r="BJ240" i="1"/>
  <c r="BJ236" i="1"/>
  <c r="BJ232" i="1"/>
  <c r="BJ225" i="1"/>
  <c r="BJ221" i="1"/>
  <c r="BJ217" i="1"/>
  <c r="BJ213" i="1"/>
  <c r="BJ209" i="1"/>
  <c r="BJ205" i="1"/>
  <c r="BJ201" i="1"/>
  <c r="BJ197" i="1"/>
  <c r="BJ193" i="1"/>
  <c r="BJ189" i="1"/>
  <c r="BJ185" i="1"/>
  <c r="BJ181" i="1"/>
  <c r="BJ177" i="1"/>
  <c r="BJ173" i="1"/>
  <c r="BJ169" i="1"/>
  <c r="BJ165" i="1"/>
  <c r="BJ161" i="1"/>
  <c r="BJ157" i="1"/>
  <c r="BJ153" i="1"/>
  <c r="BJ149" i="1"/>
  <c r="BJ145" i="1"/>
  <c r="BJ141" i="1"/>
  <c r="BJ137" i="1"/>
  <c r="BJ133" i="1"/>
  <c r="BJ129" i="1"/>
  <c r="BJ121" i="1"/>
  <c r="BJ117" i="1"/>
  <c r="BJ113" i="1"/>
  <c r="BJ109" i="1"/>
  <c r="BJ105" i="1"/>
  <c r="BJ101" i="1"/>
  <c r="BJ97" i="1"/>
  <c r="BJ93" i="1"/>
  <c r="BJ89" i="1"/>
  <c r="BJ85" i="1"/>
  <c r="BJ53" i="1"/>
  <c r="BG265" i="1"/>
  <c r="AV47" i="1"/>
  <c r="BI47" i="1" s="1"/>
  <c r="BJ374" i="1"/>
  <c r="BH371" i="1"/>
  <c r="BJ370" i="1"/>
  <c r="BH367" i="1"/>
  <c r="BJ366" i="1"/>
  <c r="BH363" i="1"/>
  <c r="BJ362" i="1"/>
  <c r="BH359" i="1"/>
  <c r="BJ358" i="1"/>
  <c r="BH355" i="1"/>
  <c r="BJ354" i="1"/>
  <c r="BH351" i="1"/>
  <c r="BJ350" i="1"/>
  <c r="BH347" i="1"/>
  <c r="BJ346" i="1"/>
  <c r="BH343" i="1"/>
  <c r="BJ342" i="1"/>
  <c r="BH339" i="1"/>
  <c r="BJ338" i="1"/>
  <c r="BH335" i="1"/>
  <c r="BJ334" i="1"/>
  <c r="BH331" i="1"/>
  <c r="BJ330" i="1"/>
  <c r="BJ326" i="1"/>
  <c r="BH323" i="1"/>
  <c r="BJ322" i="1"/>
  <c r="BH319" i="1"/>
  <c r="BJ318" i="1"/>
  <c r="BJ314" i="1"/>
  <c r="BJ310" i="1"/>
  <c r="BH307" i="1"/>
  <c r="BJ306" i="1"/>
  <c r="BH303" i="1"/>
  <c r="BJ302" i="1"/>
  <c r="BH299" i="1"/>
  <c r="BJ298" i="1"/>
  <c r="BJ294" i="1"/>
  <c r="BH291" i="1"/>
  <c r="BJ290" i="1"/>
  <c r="BH287" i="1"/>
  <c r="BJ286" i="1"/>
  <c r="BH283" i="1"/>
  <c r="BJ282" i="1"/>
  <c r="BJ278" i="1"/>
  <c r="BJ274" i="1"/>
  <c r="BH271" i="1"/>
  <c r="BJ270" i="1"/>
  <c r="BF262" i="1"/>
  <c r="BI259" i="1"/>
  <c r="BG255" i="1"/>
  <c r="BF254" i="1"/>
  <c r="BG251" i="1"/>
  <c r="BF250" i="1"/>
  <c r="BI247" i="1"/>
  <c r="BF246" i="1"/>
  <c r="BI243" i="1"/>
  <c r="BG243" i="1"/>
  <c r="BF242" i="1"/>
  <c r="BF238" i="1"/>
  <c r="BG235" i="1"/>
  <c r="BF234" i="1"/>
  <c r="BI231" i="1"/>
  <c r="BG231" i="1"/>
  <c r="BF230" i="1"/>
  <c r="BI220" i="1"/>
  <c r="BG220" i="1"/>
  <c r="BF219" i="1"/>
  <c r="BI216" i="1"/>
  <c r="BG216" i="1"/>
  <c r="BF215" i="1"/>
  <c r="BG212" i="1"/>
  <c r="BF211" i="1"/>
  <c r="BI208" i="1"/>
  <c r="BG208" i="1"/>
  <c r="BF207" i="1"/>
  <c r="BI204" i="1"/>
  <c r="BF203" i="1"/>
  <c r="BG200" i="1"/>
  <c r="BF199" i="1"/>
  <c r="BI196" i="1"/>
  <c r="BG196" i="1"/>
  <c r="BF195" i="1"/>
  <c r="BI192" i="1"/>
  <c r="BF191" i="1"/>
  <c r="BG188" i="1"/>
  <c r="BF187" i="1"/>
  <c r="BI184" i="1"/>
  <c r="BG184" i="1"/>
  <c r="BF183" i="1"/>
  <c r="BI180" i="1"/>
  <c r="BG180" i="1"/>
  <c r="BF179" i="1"/>
  <c r="BG176" i="1"/>
  <c r="BF175" i="1"/>
  <c r="BI172" i="1"/>
  <c r="BF171" i="1"/>
  <c r="BG168" i="1"/>
  <c r="BF167" i="1"/>
  <c r="BF163" i="1"/>
  <c r="BI160" i="1"/>
  <c r="BF159" i="1"/>
  <c r="BI156" i="1"/>
  <c r="BG156" i="1"/>
  <c r="BF155" i="1"/>
  <c r="BI148" i="1"/>
  <c r="BG148" i="1"/>
  <c r="BF147" i="1"/>
  <c r="BI144" i="1"/>
  <c r="BG144" i="1"/>
  <c r="BF143" i="1"/>
  <c r="BF139" i="1"/>
  <c r="BI136" i="1"/>
  <c r="BG136" i="1"/>
  <c r="BF135" i="1"/>
  <c r="BI132" i="1"/>
  <c r="BF131" i="1"/>
  <c r="BG128" i="1"/>
  <c r="BF127" i="1"/>
  <c r="BI124" i="1"/>
  <c r="BF123" i="1"/>
  <c r="BI120" i="1"/>
  <c r="BG120" i="1"/>
  <c r="BF119" i="1"/>
  <c r="BG116" i="1"/>
  <c r="BF115" i="1"/>
  <c r="BI112" i="1"/>
  <c r="BG112" i="1"/>
  <c r="BF111" i="1"/>
  <c r="BI108" i="1"/>
  <c r="BF107" i="1"/>
  <c r="BG104" i="1"/>
  <c r="BF103" i="1"/>
  <c r="BI100" i="1"/>
  <c r="BG100" i="1"/>
  <c r="BF99" i="1"/>
  <c r="BI96" i="1"/>
  <c r="BG96" i="1"/>
  <c r="BF95" i="1"/>
  <c r="BI92" i="1"/>
  <c r="BG92" i="1"/>
  <c r="BF91" i="1"/>
  <c r="BI88" i="1"/>
  <c r="BI84" i="1"/>
  <c r="BG84" i="1"/>
  <c r="BF83" i="1"/>
  <c r="BF63" i="1"/>
  <c r="BI60" i="1"/>
  <c r="BF47" i="1"/>
  <c r="BF31" i="1"/>
  <c r="BI28" i="1"/>
  <c r="AV359" i="1"/>
  <c r="BI359" i="1" s="1"/>
  <c r="AV272" i="1"/>
  <c r="BI272" i="1" s="1"/>
  <c r="AV257" i="1"/>
  <c r="BI257" i="1" s="1"/>
  <c r="AV245" i="1"/>
  <c r="BI245" i="1" s="1"/>
  <c r="AV218" i="1"/>
  <c r="BI218" i="1" s="1"/>
  <c r="AV104" i="1"/>
  <c r="BI104" i="1" s="1"/>
  <c r="AV80" i="1"/>
  <c r="BI80" i="1" s="1"/>
  <c r="AV56" i="1"/>
  <c r="BI56" i="1" s="1"/>
  <c r="AV44" i="1"/>
  <c r="BI44" i="1" s="1"/>
  <c r="AV23" i="1"/>
  <c r="BI23" i="1" s="1"/>
  <c r="BJ216" i="1"/>
  <c r="BH213" i="1"/>
  <c r="BH205" i="1"/>
  <c r="BJ204" i="1"/>
  <c r="BH153" i="1"/>
  <c r="BH145" i="1"/>
  <c r="BJ140" i="1"/>
  <c r="BH137" i="1"/>
  <c r="BJ136" i="1"/>
  <c r="BH133" i="1"/>
  <c r="BJ132" i="1"/>
  <c r="BJ128" i="1"/>
  <c r="BH125" i="1"/>
  <c r="BJ124" i="1"/>
  <c r="BH121" i="1"/>
  <c r="BJ120" i="1"/>
  <c r="BH117" i="1"/>
  <c r="BJ116" i="1"/>
  <c r="BH113" i="1"/>
  <c r="BJ112" i="1"/>
  <c r="BH109" i="1"/>
  <c r="BJ108" i="1"/>
  <c r="BJ104" i="1"/>
  <c r="BJ100" i="1"/>
  <c r="BH97" i="1"/>
  <c r="BJ96" i="1"/>
  <c r="BJ92" i="1"/>
  <c r="BH89" i="1"/>
  <c r="BJ88" i="1"/>
  <c r="BH85" i="1"/>
  <c r="BJ84" i="1"/>
  <c r="BJ80" i="1"/>
  <c r="BJ76" i="1"/>
  <c r="BH73" i="1"/>
  <c r="BJ72" i="1"/>
  <c r="BH69" i="1"/>
  <c r="BJ68" i="1"/>
  <c r="BH65" i="1"/>
  <c r="BJ64" i="1"/>
  <c r="BH61" i="1"/>
  <c r="BJ60" i="1"/>
  <c r="BH57" i="1"/>
  <c r="BJ56" i="1"/>
  <c r="BH53" i="1"/>
  <c r="BJ52" i="1"/>
  <c r="BH49" i="1"/>
  <c r="BJ48" i="1"/>
  <c r="BJ44" i="1"/>
  <c r="BJ40" i="1"/>
  <c r="BH37" i="1"/>
  <c r="BJ36" i="1"/>
  <c r="BH33" i="1"/>
  <c r="BJ32" i="1"/>
  <c r="BH29" i="1"/>
  <c r="BJ28" i="1"/>
  <c r="BH25" i="1"/>
  <c r="BJ24" i="1"/>
  <c r="BH21" i="1"/>
  <c r="BJ20" i="1"/>
  <c r="BH17" i="1"/>
  <c r="BJ16" i="1"/>
  <c r="BH13" i="1"/>
  <c r="BJ12" i="1"/>
  <c r="BH9" i="1"/>
  <c r="BJ8" i="1"/>
  <c r="BJ4" i="1"/>
  <c r="BF266" i="1"/>
  <c r="BK265" i="1"/>
  <c r="BH217" i="1"/>
  <c r="BJ200" i="1"/>
  <c r="BH197" i="1"/>
  <c r="BJ192" i="1"/>
  <c r="BH189" i="1"/>
  <c r="BH165" i="1"/>
  <c r="BH161" i="1"/>
  <c r="BH370" i="1"/>
  <c r="BH366" i="1"/>
  <c r="BH362" i="1"/>
  <c r="BJ357" i="1"/>
  <c r="BH354" i="1"/>
  <c r="BJ353" i="1"/>
  <c r="BH350" i="1"/>
  <c r="BJ345" i="1"/>
  <c r="BJ341" i="1"/>
  <c r="BJ337" i="1"/>
  <c r="BH334" i="1"/>
  <c r="BJ333" i="1"/>
  <c r="BJ325" i="1"/>
  <c r="BH322" i="1"/>
  <c r="BJ317" i="1"/>
  <c r="BH314" i="1"/>
  <c r="BH310" i="1"/>
  <c r="BJ305" i="1"/>
  <c r="BJ301" i="1"/>
  <c r="BJ297" i="1"/>
  <c r="BH294" i="1"/>
  <c r="BJ293" i="1"/>
  <c r="BH290" i="1"/>
  <c r="BH286" i="1"/>
  <c r="BJ285" i="1"/>
  <c r="BJ281" i="1"/>
  <c r="BH278" i="1"/>
  <c r="BJ273" i="1"/>
  <c r="BH270" i="1"/>
  <c r="BF261" i="1"/>
  <c r="BK259" i="1"/>
  <c r="BK255" i="1"/>
  <c r="BG254" i="1"/>
  <c r="BI250" i="1"/>
  <c r="BF249" i="1"/>
  <c r="BK247" i="1"/>
  <c r="BG246" i="1"/>
  <c r="BK243" i="1"/>
  <c r="BK239" i="1"/>
  <c r="BG238" i="1"/>
  <c r="BK235" i="1"/>
  <c r="BK231" i="1"/>
  <c r="BF226" i="1"/>
  <c r="BI223" i="1"/>
  <c r="BF218" i="1"/>
  <c r="BK212" i="1"/>
  <c r="BG211" i="1"/>
  <c r="BK208" i="1"/>
  <c r="BF206" i="1"/>
  <c r="BK204" i="1"/>
  <c r="BG203" i="1"/>
  <c r="BG199" i="1"/>
  <c r="BF194" i="1"/>
  <c r="BF190" i="1"/>
  <c r="BK188" i="1"/>
  <c r="BF186" i="1"/>
  <c r="BK184" i="1"/>
  <c r="BG183" i="1"/>
  <c r="BK180" i="1"/>
  <c r="BG179" i="1"/>
  <c r="BF174" i="1"/>
  <c r="BK172" i="1"/>
  <c r="BK168" i="1"/>
  <c r="BG167" i="1"/>
  <c r="BF166" i="1"/>
  <c r="BK164" i="1"/>
  <c r="BG163" i="1"/>
  <c r="BG159" i="1"/>
  <c r="BF154" i="1"/>
  <c r="BF150" i="1"/>
  <c r="BK148" i="1"/>
  <c r="BF146" i="1"/>
  <c r="BK144" i="1"/>
  <c r="BG143" i="1"/>
  <c r="BI139" i="1"/>
  <c r="BF134" i="1"/>
  <c r="BG75" i="1"/>
  <c r="BK72" i="1"/>
  <c r="BF70" i="1"/>
  <c r="BK68" i="1"/>
  <c r="BG63" i="1"/>
  <c r="BF62" i="1"/>
  <c r="BK60" i="1"/>
  <c r="BI55" i="1"/>
  <c r="BK52" i="1"/>
  <c r="BG47" i="1"/>
  <c r="BK44" i="1"/>
  <c r="BG43" i="1"/>
  <c r="BK40" i="1"/>
  <c r="BK36" i="1"/>
  <c r="BG35" i="1"/>
  <c r="BF34" i="1"/>
  <c r="BK32" i="1"/>
  <c r="BG31" i="1"/>
  <c r="BF30" i="1"/>
  <c r="BK28" i="1"/>
  <c r="BF26" i="1"/>
  <c r="BK24" i="1"/>
  <c r="BG23" i="1"/>
  <c r="BF22" i="1"/>
  <c r="BK20" i="1"/>
  <c r="BF18" i="1"/>
  <c r="BK16" i="1"/>
  <c r="BI15" i="1"/>
  <c r="BF14" i="1"/>
  <c r="BK12" i="1"/>
  <c r="BG11" i="1"/>
  <c r="BK8" i="1"/>
  <c r="BF6" i="1"/>
  <c r="BK4" i="1"/>
  <c r="BG3" i="1"/>
  <c r="AV347" i="1"/>
  <c r="BI347" i="1" s="1"/>
  <c r="AV281" i="1"/>
  <c r="BI281" i="1" s="1"/>
  <c r="AV269" i="1"/>
  <c r="AV268" i="1" s="1"/>
  <c r="AV267" i="1" s="1"/>
  <c r="AV266" i="1" s="1"/>
  <c r="BI266" i="1" s="1"/>
  <c r="AV254" i="1"/>
  <c r="BI254" i="1" s="1"/>
  <c r="BH209" i="1"/>
  <c r="BH201" i="1"/>
  <c r="BH185" i="1"/>
  <c r="BH181" i="1"/>
  <c r="BH177" i="1"/>
  <c r="BH169" i="1"/>
  <c r="BJ168" i="1"/>
  <c r="BJ164" i="1"/>
  <c r="BH157" i="1"/>
  <c r="BJ152" i="1"/>
  <c r="BH149" i="1"/>
  <c r="BH129" i="1"/>
  <c r="BG2" i="1"/>
  <c r="BH374" i="1"/>
  <c r="BJ373" i="1"/>
  <c r="BJ369" i="1"/>
  <c r="BJ365" i="1"/>
  <c r="BJ361" i="1"/>
  <c r="BJ349" i="1"/>
  <c r="BH342" i="1"/>
  <c r="BH338" i="1"/>
  <c r="BH330" i="1"/>
  <c r="BJ329" i="1"/>
  <c r="BH326" i="1"/>
  <c r="BJ321" i="1"/>
  <c r="BH318" i="1"/>
  <c r="BJ313" i="1"/>
  <c r="BJ309" i="1"/>
  <c r="BH302" i="1"/>
  <c r="BH298" i="1"/>
  <c r="BJ289" i="1"/>
  <c r="BJ277" i="1"/>
  <c r="BF257" i="1"/>
  <c r="BK251" i="1"/>
  <c r="BG242" i="1"/>
  <c r="BF241" i="1"/>
  <c r="BI238" i="1"/>
  <c r="BG234" i="1"/>
  <c r="BF233" i="1"/>
  <c r="BG230" i="1"/>
  <c r="BK224" i="1"/>
  <c r="BK220" i="1"/>
  <c r="BG219" i="1"/>
  <c r="BK216" i="1"/>
  <c r="BI211" i="1"/>
  <c r="BF210" i="1"/>
  <c r="BF202" i="1"/>
  <c r="BK200" i="1"/>
  <c r="BK196" i="1"/>
  <c r="BG195" i="1"/>
  <c r="BK192" i="1"/>
  <c r="BI183" i="1"/>
  <c r="BF178" i="1"/>
  <c r="BK176" i="1"/>
  <c r="BG175" i="1"/>
  <c r="BF162" i="1"/>
  <c r="BK160" i="1"/>
  <c r="BK156" i="1"/>
  <c r="BK152" i="1"/>
  <c r="BG151" i="1"/>
  <c r="BG147" i="1"/>
  <c r="BF142" i="1"/>
  <c r="BK140" i="1"/>
  <c r="BG139" i="1"/>
  <c r="BK136" i="1"/>
  <c r="BI135" i="1"/>
  <c r="BG135" i="1"/>
  <c r="BK132" i="1"/>
  <c r="BG131" i="1"/>
  <c r="BG127" i="1"/>
  <c r="BF126" i="1"/>
  <c r="BK124" i="1"/>
  <c r="BF122" i="1"/>
  <c r="BK120" i="1"/>
  <c r="BF118" i="1"/>
  <c r="BK116" i="1"/>
  <c r="BI115" i="1"/>
  <c r="BG115" i="1"/>
  <c r="BK112" i="1"/>
  <c r="BG111" i="1"/>
  <c r="BK108" i="1"/>
  <c r="BG107" i="1"/>
  <c r="BF106" i="1"/>
  <c r="BK104" i="1"/>
  <c r="BI103" i="1"/>
  <c r="BF102" i="1"/>
  <c r="BK100" i="1"/>
  <c r="BF98" i="1"/>
  <c r="BK96" i="1"/>
  <c r="BG95" i="1"/>
  <c r="BF94" i="1"/>
  <c r="BK92" i="1"/>
  <c r="BI91" i="1"/>
  <c r="BF90" i="1"/>
  <c r="BK88" i="1"/>
  <c r="BK84" i="1"/>
  <c r="BG83" i="1"/>
  <c r="BF82" i="1"/>
  <c r="BI79" i="1"/>
  <c r="BG79" i="1"/>
  <c r="BF78" i="1"/>
  <c r="BK76" i="1"/>
  <c r="BF74" i="1"/>
  <c r="BI67" i="1"/>
  <c r="BK64" i="1"/>
  <c r="BF58" i="1"/>
  <c r="BK56" i="1"/>
  <c r="BF50" i="1"/>
  <c r="BK48" i="1"/>
  <c r="BF46" i="1"/>
  <c r="BF42" i="1"/>
  <c r="BF38" i="1"/>
  <c r="BG27" i="1"/>
  <c r="BJ2" i="1"/>
  <c r="BI376" i="1"/>
  <c r="BF375" i="1"/>
  <c r="BK373" i="1"/>
  <c r="BI372" i="1"/>
  <c r="BG372" i="1"/>
  <c r="BF371" i="1"/>
  <c r="BK369" i="1"/>
  <c r="BG368" i="1"/>
  <c r="BF367" i="1"/>
  <c r="BK365" i="1"/>
  <c r="BI364" i="1"/>
  <c r="BG364" i="1"/>
  <c r="BK361" i="1"/>
  <c r="BI360" i="1"/>
  <c r="BG360" i="1"/>
  <c r="BK357" i="1"/>
  <c r="BF355" i="1"/>
  <c r="BK353" i="1"/>
  <c r="BI352" i="1"/>
  <c r="BG352" i="1"/>
  <c r="BK349" i="1"/>
  <c r="BI348" i="1"/>
  <c r="BG348" i="1"/>
  <c r="BF347" i="1"/>
  <c r="BK345" i="1"/>
  <c r="BF343" i="1"/>
  <c r="BK341" i="1"/>
  <c r="BI340" i="1"/>
  <c r="BF339" i="1"/>
  <c r="BK337" i="1"/>
  <c r="BI336" i="1"/>
  <c r="BG336" i="1"/>
  <c r="BF335" i="1"/>
  <c r="BK333" i="1"/>
  <c r="BG332" i="1"/>
  <c r="BF331" i="1"/>
  <c r="BK329" i="1"/>
  <c r="BI328" i="1"/>
  <c r="BG328" i="1"/>
  <c r="BK325" i="1"/>
  <c r="BI324" i="1"/>
  <c r="BG324" i="1"/>
  <c r="BF323" i="1"/>
  <c r="BK321" i="1"/>
  <c r="BF319" i="1"/>
  <c r="BK317" i="1"/>
  <c r="BI316" i="1"/>
  <c r="BG316" i="1"/>
  <c r="BK313" i="1"/>
  <c r="BI312" i="1"/>
  <c r="BK309" i="1"/>
  <c r="BG308" i="1"/>
  <c r="BF307" i="1"/>
  <c r="BK305" i="1"/>
  <c r="BI304" i="1"/>
  <c r="BF303" i="1"/>
  <c r="BK301" i="1"/>
  <c r="BI300" i="1"/>
  <c r="BG300" i="1"/>
  <c r="BF299" i="1"/>
  <c r="BK297" i="1"/>
  <c r="BG296" i="1"/>
  <c r="BF295" i="1"/>
  <c r="BK293" i="1"/>
  <c r="BI292" i="1"/>
  <c r="BF291" i="1"/>
  <c r="BK289" i="1"/>
  <c r="BI288" i="1"/>
  <c r="BG288" i="1"/>
  <c r="BK285" i="1"/>
  <c r="BG284" i="1"/>
  <c r="BK281" i="1"/>
  <c r="BI280" i="1"/>
  <c r="BF279" i="1"/>
  <c r="BK277" i="1"/>
  <c r="BG276" i="1"/>
  <c r="BF275" i="1"/>
  <c r="BK273" i="1"/>
  <c r="BF271" i="1"/>
  <c r="BK269" i="1"/>
  <c r="BJ262" i="1"/>
  <c r="BH231" i="1"/>
  <c r="BH176" i="1"/>
  <c r="BH156" i="1"/>
  <c r="BJ127" i="1"/>
  <c r="BH96" i="1"/>
  <c r="BJ258" i="1"/>
  <c r="BH255" i="1"/>
  <c r="BJ254" i="1"/>
  <c r="BH251" i="1"/>
  <c r="BJ250" i="1"/>
  <c r="BH247" i="1"/>
  <c r="BJ246" i="1"/>
  <c r="BJ242" i="1"/>
  <c r="BH239" i="1"/>
  <c r="BJ238" i="1"/>
  <c r="BH235" i="1"/>
  <c r="BJ234" i="1"/>
  <c r="BJ230" i="1"/>
  <c r="BH224" i="1"/>
  <c r="BJ223" i="1"/>
  <c r="BH220" i="1"/>
  <c r="BJ219" i="1"/>
  <c r="BH216" i="1"/>
  <c r="BJ215" i="1"/>
  <c r="BH212" i="1"/>
  <c r="BJ211" i="1"/>
  <c r="BJ207" i="1"/>
  <c r="BH204" i="1"/>
  <c r="BJ203" i="1"/>
  <c r="BH200" i="1"/>
  <c r="BJ199" i="1"/>
  <c r="BJ195" i="1"/>
  <c r="BH192" i="1"/>
  <c r="BJ187" i="1"/>
  <c r="BH184" i="1"/>
  <c r="BJ183" i="1"/>
  <c r="BH180" i="1"/>
  <c r="BJ179" i="1"/>
  <c r="BJ175" i="1"/>
  <c r="BJ171" i="1"/>
  <c r="BH168" i="1"/>
  <c r="BJ167" i="1"/>
  <c r="BH164" i="1"/>
  <c r="BJ163" i="1"/>
  <c r="BH160" i="1"/>
  <c r="BJ159" i="1"/>
  <c r="BJ155" i="1"/>
  <c r="BH152" i="1"/>
  <c r="BJ151" i="1"/>
  <c r="BH148" i="1"/>
  <c r="BJ147" i="1"/>
  <c r="BH144" i="1"/>
  <c r="BJ143" i="1"/>
  <c r="BH140" i="1"/>
  <c r="BJ139" i="1"/>
  <c r="BH136" i="1"/>
  <c r="BJ135" i="1"/>
  <c r="BJ131" i="1"/>
  <c r="BH128" i="1"/>
  <c r="BH124" i="1"/>
  <c r="BJ123" i="1"/>
  <c r="BJ119" i="1"/>
  <c r="BH116" i="1"/>
  <c r="BJ115" i="1"/>
  <c r="BH112" i="1"/>
  <c r="BJ111" i="1"/>
  <c r="BH108" i="1"/>
  <c r="BJ107" i="1"/>
  <c r="BH104" i="1"/>
  <c r="BJ103" i="1"/>
  <c r="BH100" i="1"/>
  <c r="BJ99" i="1"/>
  <c r="BJ95" i="1"/>
  <c r="BH92" i="1"/>
  <c r="BJ91" i="1"/>
  <c r="BH88" i="1"/>
  <c r="BJ87" i="1"/>
  <c r="BH84" i="1"/>
  <c r="BJ83" i="1"/>
  <c r="BJ75" i="1"/>
  <c r="BJ71" i="1"/>
  <c r="BJ67" i="1"/>
  <c r="BJ63" i="1"/>
  <c r="BJ59" i="1"/>
  <c r="BJ51" i="1"/>
  <c r="BJ47" i="1"/>
  <c r="BJ43" i="1"/>
  <c r="BJ39" i="1"/>
  <c r="BJ35" i="1"/>
  <c r="BJ31" i="1"/>
  <c r="BJ27" i="1"/>
  <c r="BJ23" i="1"/>
  <c r="BJ19" i="1"/>
  <c r="BJ15" i="1"/>
  <c r="BJ11" i="1"/>
  <c r="BJ7" i="1"/>
  <c r="BJ3" i="1"/>
  <c r="BG264" i="1"/>
  <c r="AV368" i="1"/>
  <c r="BI368" i="1" s="1"/>
  <c r="AV356" i="1"/>
  <c r="BI356" i="1" s="1"/>
  <c r="AV314" i="1"/>
  <c r="BI314" i="1" s="1"/>
  <c r="AV212" i="1"/>
  <c r="BI212" i="1" s="1"/>
  <c r="AV137" i="1"/>
  <c r="BI137" i="1" s="1"/>
  <c r="AV125" i="1"/>
  <c r="BI125" i="1" s="1"/>
  <c r="AV113" i="1"/>
  <c r="BI113" i="1" s="1"/>
  <c r="AV101" i="1"/>
  <c r="BI101" i="1" s="1"/>
  <c r="AV89" i="1"/>
  <c r="BI89" i="1" s="1"/>
  <c r="AV77" i="1"/>
  <c r="BI77" i="1" s="1"/>
  <c r="AV122" i="1"/>
  <c r="BI122" i="1" s="1"/>
  <c r="BF263" i="1"/>
  <c r="BK261" i="1"/>
  <c r="BG260" i="1"/>
  <c r="BK257" i="1"/>
  <c r="BI256" i="1"/>
  <c r="BG256" i="1"/>
  <c r="BK253" i="1"/>
  <c r="BI252" i="1"/>
  <c r="BF251" i="1"/>
  <c r="BK249" i="1"/>
  <c r="BF247" i="1"/>
  <c r="BK245" i="1"/>
  <c r="BI244" i="1"/>
  <c r="BG244" i="1"/>
  <c r="BK241" i="1"/>
  <c r="BI240" i="1"/>
  <c r="BF239" i="1"/>
  <c r="BK237" i="1"/>
  <c r="BF235" i="1"/>
  <c r="BK233" i="1"/>
  <c r="BI232" i="1"/>
  <c r="BG232" i="1"/>
  <c r="BF231" i="1"/>
  <c r="BK226" i="1"/>
  <c r="BI225" i="1"/>
  <c r="BK222" i="1"/>
  <c r="BG221" i="1"/>
  <c r="BF220" i="1"/>
  <c r="BK218" i="1"/>
  <c r="BI217" i="1"/>
  <c r="BF216" i="1"/>
  <c r="BK214" i="1"/>
  <c r="BI213" i="1"/>
  <c r="BK210" i="1"/>
  <c r="BG209" i="1"/>
  <c r="BF208" i="1"/>
  <c r="BK206" i="1"/>
  <c r="BI205" i="1"/>
  <c r="BF204" i="1"/>
  <c r="BK202" i="1"/>
  <c r="BK198" i="1"/>
  <c r="BF196" i="1"/>
  <c r="BK194" i="1"/>
  <c r="BG193" i="1"/>
  <c r="BF192" i="1"/>
  <c r="BK190" i="1"/>
  <c r="BI189" i="1"/>
  <c r="BG189" i="1"/>
  <c r="BK186" i="1"/>
  <c r="BF184" i="1"/>
  <c r="BK182" i="1"/>
  <c r="BI181" i="1"/>
  <c r="BK178" i="1"/>
  <c r="BI177" i="1"/>
  <c r="BG177" i="1"/>
  <c r="BF176" i="1"/>
  <c r="BK174" i="1"/>
  <c r="BF172" i="1"/>
  <c r="BK170" i="1"/>
  <c r="BI169" i="1"/>
  <c r="BG169" i="1"/>
  <c r="BK166" i="1"/>
  <c r="BI165" i="1"/>
  <c r="BF164" i="1"/>
  <c r="BK162" i="1"/>
  <c r="BF160" i="1"/>
  <c r="BK158" i="1"/>
  <c r="BI157" i="1"/>
  <c r="BG157" i="1"/>
  <c r="BK154" i="1"/>
  <c r="BI153" i="1"/>
  <c r="BF152" i="1"/>
  <c r="BK150" i="1"/>
  <c r="BG149" i="1"/>
  <c r="BF148" i="1"/>
  <c r="BK146" i="1"/>
  <c r="BI145" i="1"/>
  <c r="BG145" i="1"/>
  <c r="BF144" i="1"/>
  <c r="BK142" i="1"/>
  <c r="BI141" i="1"/>
  <c r="BK138" i="1"/>
  <c r="BG137" i="1"/>
  <c r="BF136" i="1"/>
  <c r="BK134" i="1"/>
  <c r="BI133" i="1"/>
  <c r="BF132" i="1"/>
  <c r="BK130" i="1"/>
  <c r="BG129" i="1"/>
  <c r="BK126" i="1"/>
  <c r="BG125" i="1"/>
  <c r="BF124" i="1"/>
  <c r="BK122" i="1"/>
  <c r="BI121" i="1"/>
  <c r="BF120" i="1"/>
  <c r="BK118" i="1"/>
  <c r="BI117" i="1"/>
  <c r="BG117" i="1"/>
  <c r="BK114" i="1"/>
  <c r="BF112" i="1"/>
  <c r="BK110" i="1"/>
  <c r="BI109" i="1"/>
  <c r="BF108" i="1"/>
  <c r="BK106" i="1"/>
  <c r="BG105" i="1"/>
  <c r="BK102" i="1"/>
  <c r="BK98" i="1"/>
  <c r="BK94" i="1"/>
  <c r="BI93" i="1"/>
  <c r="BG93" i="1"/>
  <c r="BF92" i="1"/>
  <c r="BK90" i="1"/>
  <c r="BK86" i="1"/>
  <c r="BI85" i="1"/>
  <c r="BG85" i="1"/>
  <c r="BK82" i="1"/>
  <c r="BG73" i="1"/>
  <c r="BF64" i="1"/>
  <c r="BG53" i="1"/>
  <c r="BK50" i="1"/>
  <c r="BI49" i="1"/>
  <c r="BG41" i="1"/>
  <c r="BG33" i="1"/>
  <c r="BF32" i="1"/>
  <c r="BG21" i="1"/>
  <c r="BG13" i="1"/>
  <c r="BF12" i="1"/>
  <c r="BG9" i="1"/>
  <c r="AV248" i="1"/>
  <c r="BI248" i="1" s="1"/>
  <c r="AV236" i="1"/>
  <c r="BI236" i="1" s="1"/>
  <c r="AV221" i="1"/>
  <c r="BI221" i="1" s="1"/>
  <c r="AV209" i="1"/>
  <c r="BI209" i="1" s="1"/>
  <c r="AV167" i="1"/>
  <c r="BI167" i="1" s="1"/>
  <c r="AV155" i="1"/>
  <c r="BI155" i="1" s="1"/>
  <c r="BF80" i="1"/>
  <c r="BK78" i="1"/>
  <c r="BK74" i="1"/>
  <c r="BI73" i="1"/>
  <c r="BF72" i="1"/>
  <c r="BK70" i="1"/>
  <c r="BI69" i="1"/>
  <c r="BK66" i="1"/>
  <c r="BG65" i="1"/>
  <c r="BK62" i="1"/>
  <c r="BI61" i="1"/>
  <c r="BF60" i="1"/>
  <c r="BK58" i="1"/>
  <c r="BI57" i="1"/>
  <c r="BK54" i="1"/>
  <c r="BF48" i="1"/>
  <c r="BK46" i="1"/>
  <c r="BI45" i="1"/>
  <c r="BF44" i="1"/>
  <c r="BK42" i="1"/>
  <c r="BF40" i="1"/>
  <c r="BK38" i="1"/>
  <c r="BI37" i="1"/>
  <c r="BI33" i="1"/>
  <c r="BK30" i="1"/>
  <c r="BG29" i="1"/>
  <c r="BF28" i="1"/>
  <c r="BK26" i="1"/>
  <c r="BI25" i="1"/>
  <c r="BK22" i="1"/>
  <c r="BI21" i="1"/>
  <c r="BF20" i="1"/>
  <c r="BK18" i="1"/>
  <c r="BF16" i="1"/>
  <c r="BK14" i="1"/>
  <c r="BI13" i="1"/>
  <c r="BK10" i="1"/>
  <c r="BI9" i="1"/>
  <c r="BF8" i="1"/>
  <c r="BK6" i="1"/>
  <c r="BJ268" i="1"/>
  <c r="BJ267" i="1"/>
  <c r="BJ266" i="1"/>
  <c r="AV344" i="1"/>
  <c r="BI344" i="1" s="1"/>
  <c r="AV323" i="1"/>
  <c r="BI323" i="1" s="1"/>
  <c r="AV290" i="1"/>
  <c r="BI290" i="1" s="1"/>
  <c r="AV233" i="1"/>
  <c r="BI233" i="1" s="1"/>
  <c r="AV197" i="1"/>
  <c r="BI197" i="1" s="1"/>
  <c r="AV176" i="1"/>
  <c r="BI176" i="1" s="1"/>
  <c r="AV110" i="1"/>
  <c r="BI110" i="1" s="1"/>
  <c r="BJ81" i="1"/>
  <c r="BH78" i="1"/>
  <c r="BJ77" i="1"/>
  <c r="BH74" i="1"/>
  <c r="BJ73" i="1"/>
  <c r="BH70" i="1"/>
  <c r="BJ69" i="1"/>
  <c r="BJ65" i="1"/>
  <c r="BH62" i="1"/>
  <c r="BJ61" i="1"/>
  <c r="BH58" i="1"/>
  <c r="BJ57" i="1"/>
  <c r="BH54" i="1"/>
  <c r="BH50" i="1"/>
  <c r="BJ49" i="1"/>
  <c r="BH46" i="1"/>
  <c r="BJ45" i="1"/>
  <c r="BJ41" i="1"/>
  <c r="BH38" i="1"/>
  <c r="BJ37" i="1"/>
  <c r="BH34" i="1"/>
  <c r="BJ33" i="1"/>
  <c r="BH30" i="1"/>
  <c r="BJ29" i="1"/>
  <c r="BH26" i="1"/>
  <c r="BJ25" i="1"/>
  <c r="BH22" i="1"/>
  <c r="BJ21" i="1"/>
  <c r="BJ17" i="1"/>
  <c r="BH14" i="1"/>
  <c r="BJ9" i="1"/>
  <c r="BH6" i="1"/>
  <c r="BK267" i="1"/>
  <c r="BK266" i="1"/>
  <c r="BI265" i="1"/>
  <c r="AV353" i="1"/>
  <c r="BI353" i="1" s="1"/>
  <c r="AV332" i="1"/>
  <c r="BI332" i="1" s="1"/>
  <c r="AV311" i="1"/>
  <c r="BI311" i="1" s="1"/>
  <c r="AV299" i="1"/>
  <c r="BI299" i="1" s="1"/>
  <c r="AV287" i="1"/>
  <c r="BI287" i="1" s="1"/>
  <c r="AV263" i="1"/>
  <c r="BI263" i="1" s="1"/>
  <c r="AV206" i="1"/>
  <c r="BI206" i="1" s="1"/>
  <c r="AV185" i="1"/>
  <c r="BI185" i="1" s="1"/>
  <c r="AV143" i="1"/>
  <c r="BI143" i="1" s="1"/>
  <c r="AV131" i="1"/>
  <c r="BI131" i="1" s="1"/>
  <c r="BF79" i="1"/>
  <c r="BI76" i="1"/>
  <c r="BF75" i="1"/>
  <c r="BK73" i="1"/>
  <c r="BI72" i="1"/>
  <c r="BF71" i="1"/>
  <c r="BK69" i="1"/>
  <c r="BF67" i="1"/>
  <c r="BK65" i="1"/>
  <c r="BI64" i="1"/>
  <c r="BK61" i="1"/>
  <c r="BF59" i="1"/>
  <c r="BK57" i="1"/>
  <c r="BG56" i="1"/>
  <c r="BK53" i="1"/>
  <c r="BI52" i="1"/>
  <c r="BF51" i="1"/>
  <c r="BK49" i="1"/>
  <c r="BK45" i="1"/>
  <c r="BF43" i="1"/>
  <c r="BI40" i="1"/>
  <c r="BF39" i="1"/>
  <c r="BK37" i="1"/>
  <c r="BI36" i="1"/>
  <c r="BF35" i="1"/>
  <c r="BK33" i="1"/>
  <c r="BK29" i="1"/>
  <c r="BF27" i="1"/>
  <c r="BK25" i="1"/>
  <c r="BI24" i="1"/>
  <c r="BK21" i="1"/>
  <c r="BG20" i="1"/>
  <c r="BF19" i="1"/>
  <c r="BI16" i="1"/>
  <c r="BK13" i="1"/>
  <c r="BI12" i="1"/>
  <c r="BF11" i="1"/>
  <c r="BF7" i="1"/>
  <c r="BF3" i="1"/>
  <c r="BH268" i="1"/>
  <c r="BH267" i="1"/>
  <c r="BH266" i="1"/>
  <c r="BJ265" i="1"/>
  <c r="BJ263" i="1"/>
  <c r="AV62" i="1"/>
  <c r="BI62" i="1" s="1"/>
  <c r="AV17" i="1"/>
  <c r="BI17" i="1" s="1"/>
  <c r="AV5" i="1"/>
  <c r="BI5" i="1" s="1"/>
  <c r="AV296" i="1"/>
  <c r="BI296" i="1" s="1"/>
  <c r="AV275" i="1"/>
  <c r="BI275" i="1" s="1"/>
  <c r="AV251" i="1"/>
  <c r="BI251" i="1" s="1"/>
  <c r="AV239" i="1"/>
  <c r="BI239" i="1" s="1"/>
  <c r="AV173" i="1"/>
  <c r="BI173" i="1" s="1"/>
  <c r="AV152" i="1"/>
  <c r="BI152" i="1" s="1"/>
  <c r="AV140" i="1"/>
  <c r="BI140" i="1" s="1"/>
  <c r="AV65" i="1"/>
  <c r="BI65" i="1" s="1"/>
  <c r="AV53" i="1"/>
  <c r="BI53" i="1" s="1"/>
  <c r="AV20" i="1"/>
  <c r="BI20" i="1" s="1"/>
  <c r="AV8" i="1"/>
  <c r="BI8" i="1" s="1"/>
  <c r="BI269" i="1" l="1"/>
  <c r="BI268" i="1"/>
  <c r="BI267" i="1"/>
</calcChain>
</file>

<file path=xl/sharedStrings.xml><?xml version="1.0" encoding="utf-8"?>
<sst xmlns="http://schemas.openxmlformats.org/spreadsheetml/2006/main" count="2299" uniqueCount="141">
  <si>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</si>
  <si>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</si>
  <si>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</si>
  <si>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</si>
  <si>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</si>
  <si>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</si>
  <si>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</si>
  <si>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</si>
  <si>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</si>
  <si>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</si>
  <si>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</si>
  <si>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</si>
  <si>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</si>
  <si>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</si>
  <si>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</si>
  <si>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</si>
  <si>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</si>
  <si>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</si>
  <si>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</si>
  <si>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</si>
  <si>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</si>
  <si>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</si>
  <si>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</si>
  <si>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</si>
  <si>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</si>
  <si>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</si>
  <si>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</si>
  <si>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</si>
  <si>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</si>
  <si>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</si>
  <si>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</si>
  <si>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</si>
  <si>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</si>
  <si>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</si>
  <si>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</si>
  <si>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</si>
  <si>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</si>
  <si>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</si>
  <si>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</si>
  <si>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</si>
  <si>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</si>
  <si>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</si>
  <si>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</si>
  <si>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</si>
  <si>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</si>
  <si>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</si>
  <si>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</si>
  <si>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</si>
  <si>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FOOD</t>
  </si>
  <si>
    <t>CLOTHING</t>
  </si>
  <si>
    <t>HEALTH</t>
  </si>
  <si>
    <t>ESSENTIALS</t>
  </si>
  <si>
    <t>LUXURIES</t>
  </si>
  <si>
    <t>ENERGY</t>
  </si>
  <si>
    <t>Categories</t>
  </si>
  <si>
    <t>CPI at Rural</t>
  </si>
  <si>
    <t>% Contribution</t>
  </si>
  <si>
    <t>Total</t>
  </si>
  <si>
    <t>CPI at Urban</t>
  </si>
  <si>
    <t>CPI %Contribution At Rural</t>
  </si>
  <si>
    <t>CPI %Contribution At Urban</t>
  </si>
  <si>
    <t>CPI %Contribution At Rural + Urban</t>
  </si>
  <si>
    <t>GENERAL</t>
  </si>
  <si>
    <t>Years</t>
  </si>
  <si>
    <t>YoY_Inflation%</t>
  </si>
  <si>
    <t>Months</t>
  </si>
  <si>
    <t>Food CPI</t>
  </si>
  <si>
    <t>Year-Month</t>
  </si>
  <si>
    <t>MoM_Inflation%</t>
  </si>
  <si>
    <t xml:space="preserve"> </t>
  </si>
  <si>
    <t>June2022</t>
  </si>
  <si>
    <t>July2022</t>
  </si>
  <si>
    <t>August2022</t>
  </si>
  <si>
    <t>September2022</t>
  </si>
  <si>
    <t>October2022</t>
  </si>
  <si>
    <t>November2022</t>
  </si>
  <si>
    <t>December2022</t>
  </si>
  <si>
    <t>January2023</t>
  </si>
  <si>
    <t>February2023</t>
  </si>
  <si>
    <t>March2023</t>
  </si>
  <si>
    <t>April2023</t>
  </si>
  <si>
    <t>May2023</t>
  </si>
  <si>
    <t>Rural + Urban</t>
  </si>
  <si>
    <t>TOTAL</t>
  </si>
  <si>
    <t>2018-19</t>
  </si>
  <si>
    <t>2019-20</t>
  </si>
  <si>
    <t>2020-21</t>
  </si>
  <si>
    <t>2021-22</t>
  </si>
  <si>
    <t>Inflation of Food</t>
  </si>
  <si>
    <t>Inflation of Health</t>
  </si>
  <si>
    <t>Inflation of Essentials</t>
  </si>
  <si>
    <t>2017-18</t>
  </si>
  <si>
    <t>2022-23</t>
  </si>
  <si>
    <t>Financial Year Analysis</t>
  </si>
  <si>
    <t>RURAL SECTOR</t>
  </si>
  <si>
    <t>URBAN SECTOR</t>
  </si>
  <si>
    <t>RURAL + URBAN SECTOR</t>
  </si>
  <si>
    <t>Calendar Year Analysis</t>
  </si>
  <si>
    <t>Petroleum Planning &amp; Analysis Cell</t>
  </si>
  <si>
    <t>Crude Oil FOB Price (Indian Basket)</t>
  </si>
  <si>
    <t>Table Posted: (01-04-2025)</t>
  </si>
  <si>
    <t>Period : Since 2000-01</t>
  </si>
  <si>
    <t>2023-24</t>
  </si>
  <si>
    <t>Website - https://ppac.gov.in/prices/international-prices-of-crude-oil</t>
  </si>
  <si>
    <t>(` Crore)</t>
  </si>
  <si>
    <t>Import/Export of Crude oil and Petroleum Products</t>
  </si>
  <si>
    <t>IMPORT/EXPORT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</si>
  <si>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</si>
  <si>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</si>
  <si>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</si>
  <si>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</si>
  <si>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</si>
  <si>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</si>
  <si>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</si>
  <si>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</si>
  <si>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</si>
  <si>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</si>
  <si>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</si>
  <si>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</si>
  <si>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IMPORT^</t>
  </si>
  <si>
    <t xml:space="preserve"> CRUDE OIL</t>
  </si>
  <si>
    <t>PRODUCTS</t>
  </si>
  <si>
    <t>LPG</t>
  </si>
  <si>
    <t>MS</t>
  </si>
  <si>
    <t>Naphtha</t>
  </si>
  <si>
    <t>ATF</t>
  </si>
  <si>
    <t>SKO</t>
  </si>
  <si>
    <t>HSD</t>
  </si>
  <si>
    <t>LOBS/ Lube oil</t>
  </si>
  <si>
    <t>Fuel Oil</t>
  </si>
  <si>
    <t>Bitumen</t>
  </si>
  <si>
    <t>Petcoke</t>
  </si>
  <si>
    <t>Others&amp;</t>
  </si>
  <si>
    <t>PRODUCT IMPORT*</t>
  </si>
  <si>
    <t>TOTAL IMPORT</t>
  </si>
  <si>
    <t>Crude Oil Values in Rs.</t>
  </si>
  <si>
    <t>CRUDE OIL</t>
  </si>
  <si>
    <t>Month-Year</t>
  </si>
  <si>
    <t>Rural + Urban Correlation with Crude Oil Price Fluctuations</t>
  </si>
  <si>
    <t>Rural Correlation with Crude Oil Price Fluctuations</t>
  </si>
  <si>
    <t>Urban Correlation with Crude Oil Price Fluctuations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</si>
</sst>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Arial"/>
      <family val="2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21" fillId="0" borderId="0"/>
    <xf numFmtId="0" fontId="21" fillId="0" borderId="0"/>
    <xf numFmtId="0" fontId="27" fillId="0" borderId="0"/>
    <xf numFmtId="0" fontId="30" fillId="0" borderId="0"/>
  </cellStyleXfs>
  <cellXfs count="63">
    <xf numFmtId="0" fontId="0" fillId="0" borderId="0" xfId="0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10" fontId="0" fillId="0" borderId="0" xfId="42" applyNumberFormat="1" applyFont="1"/>
    <xf numFmtId="0" fontId="16" fillId="0" borderId="0" xfId="0" applyFont="1" applyFill="1"/>
    <xf numFmtId="0" fontId="16" fillId="35" borderId="0" xfId="0" applyFont="1" applyFill="1"/>
    <xf numFmtId="0" fontId="0" fillId="35" borderId="0" xfId="0" applyFill="1"/>
    <xf numFmtId="10" fontId="0" fillId="35" borderId="0" xfId="0" applyNumberFormat="1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3" xfId="0" applyFont="1" applyFill="1" applyBorder="1"/>
    <xf numFmtId="0" fontId="16" fillId="0" borderId="14" xfId="0" applyFont="1" applyFill="1" applyBorder="1"/>
    <xf numFmtId="0" fontId="16" fillId="0" borderId="15" xfId="0" applyFont="1" applyFill="1" applyBorder="1"/>
    <xf numFmtId="0" fontId="16" fillId="0" borderId="10" xfId="0" applyFont="1" applyBorder="1"/>
    <xf numFmtId="0" fontId="16" fillId="33" borderId="10" xfId="0" applyFont="1" applyFill="1" applyBorder="1"/>
    <xf numFmtId="10" fontId="0" fillId="0" borderId="10" xfId="42" applyNumberFormat="1" applyFont="1" applyBorder="1"/>
    <xf numFmtId="10" fontId="16" fillId="0" borderId="10" xfId="0" applyNumberFormat="1" applyFont="1" applyBorder="1"/>
    <xf numFmtId="0" fontId="0" fillId="0" borderId="0" xfId="0" applyFill="1"/>
    <xf numFmtId="0" fontId="22" fillId="0" borderId="0" xfId="43" applyFont="1"/>
    <xf numFmtId="0" fontId="23" fillId="0" borderId="0" xfId="0" applyFont="1"/>
    <xf numFmtId="0" fontId="22" fillId="0" borderId="19" xfId="43" applyFont="1" applyBorder="1" applyAlignment="1">
      <alignment vertical="center"/>
    </xf>
    <xf numFmtId="0" fontId="22" fillId="0" borderId="0" xfId="43" applyFont="1" applyAlignment="1">
      <alignment vertical="center"/>
    </xf>
    <xf numFmtId="0" fontId="26" fillId="0" borderId="0" xfId="44" quotePrefix="1" applyFont="1" applyAlignment="1">
      <alignment horizontal="center"/>
    </xf>
    <xf numFmtId="15" fontId="28" fillId="0" borderId="0" xfId="45" applyNumberFormat="1" applyFont="1"/>
    <xf numFmtId="0" fontId="28" fillId="0" borderId="0" xfId="45" applyFont="1"/>
    <xf numFmtId="0" fontId="24" fillId="35" borderId="10" xfId="45" applyFont="1" applyFill="1" applyBorder="1" applyAlignment="1">
      <alignment horizontal="center" vertical="center" wrapText="1"/>
    </xf>
    <xf numFmtId="0" fontId="24" fillId="35" borderId="10" xfId="45" applyFont="1" applyFill="1" applyBorder="1" applyAlignment="1">
      <alignment horizontal="center" vertical="center"/>
    </xf>
    <xf numFmtId="1" fontId="25" fillId="40" borderId="10" xfId="46" applyNumberFormat="1" applyFont="1" applyFill="1" applyBorder="1" applyAlignment="1">
      <alignment horizontal="left"/>
    </xf>
    <xf numFmtId="1" fontId="31" fillId="40" borderId="10" xfId="46" applyNumberFormat="1" applyFont="1" applyFill="1" applyBorder="1" applyAlignment="1">
      <alignment horizontal="center"/>
    </xf>
    <xf numFmtId="1" fontId="25" fillId="40" borderId="10" xfId="46" applyNumberFormat="1" applyFont="1" applyFill="1" applyBorder="1" applyAlignment="1">
      <alignment horizontal="center"/>
    </xf>
    <xf numFmtId="1" fontId="32" fillId="40" borderId="10" xfId="46" applyNumberFormat="1" applyFont="1" applyFill="1" applyBorder="1" applyAlignment="1">
      <alignment horizontal="right"/>
    </xf>
    <xf numFmtId="1" fontId="33" fillId="40" borderId="10" xfId="46" applyNumberFormat="1" applyFont="1" applyFill="1" applyBorder="1" applyAlignment="1">
      <alignment horizontal="right"/>
    </xf>
    <xf numFmtId="1" fontId="34" fillId="40" borderId="10" xfId="46" applyNumberFormat="1" applyFont="1" applyFill="1" applyBorder="1" applyAlignment="1">
      <alignment horizontal="right"/>
    </xf>
    <xf numFmtId="3" fontId="34" fillId="40" borderId="10" xfId="46" applyNumberFormat="1" applyFont="1" applyFill="1" applyBorder="1" applyAlignment="1">
      <alignment horizontal="right"/>
    </xf>
    <xf numFmtId="0" fontId="25" fillId="41" borderId="10" xfId="45" applyFont="1" applyFill="1" applyBorder="1" applyAlignment="1">
      <alignment horizontal="center"/>
    </xf>
    <xf numFmtId="1" fontId="33" fillId="41" borderId="10" xfId="45" applyNumberFormat="1" applyFont="1" applyFill="1" applyBorder="1" applyAlignment="1">
      <alignment horizontal="right"/>
    </xf>
    <xf numFmtId="0" fontId="25" fillId="41" borderId="10" xfId="45" applyFont="1" applyFill="1" applyBorder="1"/>
    <xf numFmtId="0" fontId="13" fillId="36" borderId="18" xfId="0" applyFont="1" applyFill="1" applyBorder="1"/>
    <xf numFmtId="0" fontId="13" fillId="36" borderId="17" xfId="0" applyFont="1" applyFill="1" applyBorder="1"/>
    <xf numFmtId="164" fontId="0" fillId="37" borderId="18" xfId="0" applyNumberFormat="1" applyFont="1" applyFill="1" applyBorder="1"/>
    <xf numFmtId="1" fontId="32" fillId="40" borderId="17" xfId="46" applyNumberFormat="1" applyFont="1" applyFill="1" applyBorder="1" applyAlignment="1">
      <alignment horizontal="right"/>
    </xf>
    <xf numFmtId="164" fontId="0" fillId="0" borderId="18" xfId="0" applyNumberFormat="1" applyFont="1" applyBorder="1"/>
    <xf numFmtId="164" fontId="0" fillId="37" borderId="12" xfId="0" applyNumberFormat="1" applyFont="1" applyFill="1" applyBorder="1"/>
    <xf numFmtId="0" fontId="16" fillId="0" borderId="20" xfId="0" applyFont="1" applyBorder="1"/>
    <xf numFmtId="0" fontId="0" fillId="0" borderId="10" xfId="0" applyFont="1" applyFill="1" applyBorder="1"/>
    <xf numFmtId="0" fontId="0" fillId="0" borderId="10" xfId="0" applyFont="1" applyBorder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38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29" fillId="0" borderId="0" xfId="44" applyFont="1" applyAlignment="1">
      <alignment horizontal="right"/>
    </xf>
    <xf numFmtId="0" fontId="24" fillId="39" borderId="10" xfId="44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39" borderId="0" xfId="43" applyFont="1" applyFill="1" applyAlignment="1">
      <alignment horizontal="center" vertical="center"/>
    </xf>
    <xf numFmtId="0" fontId="22" fillId="0" borderId="0" xfId="43" applyFont="1" applyAlignment="1">
      <alignment horizontal="left"/>
    </xf>
    <xf numFmtId="0" fontId="23" fillId="0" borderId="0" xfId="0" applyFont="1" applyAlignment="1">
      <alignment horizontal="center"/>
    </xf>
    <xf numFmtId="0" fontId="16" fillId="0" borderId="10" xfId="0" applyFont="1" applyBorder="1" applyAlignment="1">
      <alignment horizont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 3 5" xfId="46" xr:uid="{9AFE5419-C558-46F5-A30E-092F5477CB5D}"/>
    <cellStyle name="Normal 259" xfId="45" xr:uid="{E7C61F4F-FB78-4B22-89C7-B18B9C43F6CE}"/>
    <cellStyle name="Normal 4" xfId="43" xr:uid="{F44860C2-30C0-4C92-8FA4-9C2DBA304BB1}"/>
    <cellStyle name="Normal 4 2" xfId="44" xr:uid="{B0C7C686-005E-40AD-80C8-F72D556CEC5D}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A2C-4473-8213-B47579A32E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A2C-4473-8213-B47579A32E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A2C-4473-8213-B47579A32E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A2C-4473-8213-B47579A32E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A2C-4473-8213-B47579A32E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A2C-4473-8213-B47579A32E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6FF-4DF4-8245-BA4E762EAF57}"/>
            </c:ext>
          </c:extLst>
        </c:ser>
        <c:ser>
          <c:idx val="3"/>
          <c:order val="1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A2C-4473-8213-B47579A32E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A2C-4473-8213-B47579A32E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DA2C-4473-8213-B47579A32E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A2C-4473-8213-B47579A32E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DA2C-4473-8213-B47579A32E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DA2C-4473-8213-B47579A32E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6FF-4DF4-8245-BA4E762EAF57}"/>
            </c:ext>
          </c:extLst>
        </c:ser>
        <c:ser>
          <c:idx val="0"/>
          <c:order val="2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66FF-4DF4-8245-BA4E762EAF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66FF-4DF4-8245-BA4E762EAF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66FF-4DF4-8245-BA4E762EAF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66FF-4DF4-8245-BA4E762EAF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66FF-4DF4-8245-BA4E762EAF5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66FF-4DF4-8245-BA4E762EAF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6FF-4DF4-8245-BA4E762EAF57}"/>
            </c:ext>
          </c:extLst>
        </c:ser>
        <c:ser>
          <c:idx val="1"/>
          <c:order val="3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66FF-4DF4-8245-BA4E762EAF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66FF-4DF4-8245-BA4E762EAF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66FF-4DF4-8245-BA4E762EAF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66FF-4DF4-8245-BA4E762EAF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66FF-4DF4-8245-BA4E762EAF5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66FF-4DF4-8245-BA4E762EAF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6FF-4DF4-8245-BA4E762EAF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'Question-1'!$J$4</c:f>
              <c:strCache>
                <c:ptCount val="1"/>
                <c:pt idx="0">
                  <c:v>CPI at 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7D5-4EBC-B81F-E2C7CDC3C2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7D5-4EBC-B81F-E2C7CDC3C2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7D5-4EBC-B81F-E2C7CDC3C2B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7D5-4EBC-B81F-E2C7CDC3C2B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7D5-4EBC-B81F-E2C7CDC3C2B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7D5-4EBC-B81F-E2C7CDC3C2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'Question-1'!$J$5:$J$10</c:f>
              <c:numCache>
                <c:formatCode>General</c:formatCode>
                <c:ptCount val="6"/>
                <c:pt idx="0">
                  <c:v>2335.1</c:v>
                </c:pt>
                <c:pt idx="1">
                  <c:v>528.70000000000005</c:v>
                </c:pt>
                <c:pt idx="2">
                  <c:v>367.79999999999995</c:v>
                </c:pt>
                <c:pt idx="3">
                  <c:v>520.5</c:v>
                </c:pt>
                <c:pt idx="4">
                  <c:v>545</c:v>
                </c:pt>
                <c:pt idx="5">
                  <c:v>343.8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5F2-41C1-9190-7A054D02189B}"/>
            </c:ext>
          </c:extLst>
        </c:ser>
        <c:ser>
          <c:idx val="1"/>
          <c:order val="1"/>
          <c:tx>
            <c:strRef>
              <c:f>'Question-1'!$K$4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77D5-4EBC-B81F-E2C7CDC3C2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77D5-4EBC-B81F-E2C7CDC3C2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77D5-4EBC-B81F-E2C7CDC3C2B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77D5-4EBC-B81F-E2C7CDC3C2B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77D5-4EBC-B81F-E2C7CDC3C2B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77D5-4EBC-B81F-E2C7CDC3C2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'Question-1'!$K$5:$K$10</c:f>
              <c:numCache>
                <c:formatCode>0.00%</c:formatCode>
                <c:ptCount val="6"/>
                <c:pt idx="0">
                  <c:v>0.50315671529229233</c:v>
                </c:pt>
                <c:pt idx="1">
                  <c:v>0.11392186860307267</c:v>
                </c:pt>
                <c:pt idx="2">
                  <c:v>7.9251869249499007E-2</c:v>
                </c:pt>
                <c:pt idx="3">
                  <c:v>0.11215496994117519</c:v>
                </c:pt>
                <c:pt idx="4">
                  <c:v>0.11743411838221034</c:v>
                </c:pt>
                <c:pt idx="5">
                  <c:v>7.4080458531750298E-2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5F2-41C1-9190-7A054D0218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  <a:r>
              <a:rPr lang="en-US" baseline="0"/>
              <a:t> +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'Question-1'!$P$4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254-4A8A-9543-E08BE74716B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254-4A8A-9543-E08BE74716B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254-4A8A-9543-E08BE74716B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254-4A8A-9543-E08BE74716B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254-4A8A-9543-E08BE74716B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254-4A8A-9543-E08BE7471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'Question-1'!$P$5:$P$10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370.9</c:v>
                </c:pt>
                <c:pt idx="3">
                  <c:v>527.9</c:v>
                </c:pt>
                <c:pt idx="4">
                  <c:v>547.9</c:v>
                </c:pt>
                <c:pt idx="5">
                  <c:v>347.6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CB1-4CD7-BDA5-BDFED9183834}"/>
            </c:ext>
          </c:extLst>
        </c:ser>
        <c:ser>
          <c:idx val="1"/>
          <c:order val="1"/>
          <c:tx>
            <c:strRef>
              <c:f>'Question-1'!$Q$4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254-4A8A-9543-E08BE74716B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2254-4A8A-9543-E08BE74716B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2254-4A8A-9543-E08BE74716B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2254-4A8A-9543-E08BE74716B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2254-4A8A-9543-E08BE74716B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2254-4A8A-9543-E08BE74716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'Question-1'!$Q$5:$Q$10</c:f>
              <c:numCache>
                <c:formatCode>0.00%</c:formatCode>
                <c:ptCount val="6"/>
                <c:pt idx="0">
                  <c:v>0.49563853557923682</c:v>
                </c:pt>
                <c:pt idx="1">
                  <c:v>0.11885527672739772</c:v>
                </c:pt>
                <c:pt idx="2">
                  <c:v>7.9688037126160183E-2</c:v>
                </c:pt>
                <c:pt idx="3">
                  <c:v>0.11341955998624956</c:v>
                </c:pt>
                <c:pt idx="4">
                  <c:v>0.1177165692677896</c:v>
                </c:pt>
                <c:pt idx="5">
                  <c:v>7.4682021313166036E-2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CB1-4CD7-BDA5-BDFED91838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'Question-2'!$O$5</c:f>
              <c:strCache>
                <c:ptCount val="1"/>
                <c:pt idx="0">
                  <c:v>YoY_Inflation%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'Question-2'!$N$6:$N$11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'Question-2'!$O$6:$O$11</c:f>
              <c:numCache>
                <c:formatCode>0.00%</c:formatCode>
                <c:ptCount val="6"/>
                <c:pt idx="0">
                  <c:v>4.3146463164073764E-2</c:v>
                </c:pt>
                <c:pt idx="1">
                  <c:v>2.0138203356366992E-2</c:v>
                </c:pt>
                <c:pt idx="2">
                  <c:v>7.0227991346314134E-2</c:v>
                </c:pt>
                <c:pt idx="3">
                  <c:v>6.5817409766454366E-2</c:v>
                </c:pt>
                <c:pt idx="4">
                  <c:v>5.8146637023282856E-2</c:v>
                </c:pt>
                <c:pt idx="5">
                  <c:v>6.0118386977432374E-2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E3-4FD3-86CC-C658929DE8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4605664"/>
        <c:axId val="1492569872"/>
      </c:lineChart>
      <c:catAx>
        <c:axId val="1444605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69872"/>
        <c:crosses val="autoZero"/>
        <c:auto val="1"/>
        <c:lblAlgn val="ctr"/>
        <c:lblOffset val="100"/>
        <c:noMultiLvlLbl val="0"/>
      </c:catAx>
      <c:valAx>
        <c:axId val="149256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'Question-4'!$O$5:$O$10</c:f>
              <c:numCache>
                <c:formatCode>0.00%</c:formatCode>
                <c:ptCount val="6"/>
                <c:pt idx="0">
                  <c:v>3.2265539014076243E-2</c:v>
                </c:pt>
                <c:pt idx="1">
                  <c:v>-1.0561797752808836E-2</c:v>
                </c:pt>
                <c:pt idx="2">
                  <c:v>7.6090043355610426E-2</c:v>
                </c:pt>
                <c:pt idx="3">
                  <c:v>4.3395400345102884E-2</c:v>
                </c:pt>
                <c:pt idx="4">
                  <c:v>6.3234935350085564E-2</c:v>
                </c:pt>
                <c:pt idx="5">
                  <c:v>2.6828605093809604E-2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F-404C-A67A-1B10336B0C0A}"/>
            </c:ext>
          </c:extLst>
        </c:ser>
        <c:ser>
          <c:idx val="1"/>
          <c:order val="1"/>
          <c:tx>
            <c:strRef>
              <c:f>'Question-4'!$P$4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'Question-4'!$P$5:$P$10</c:f>
              <c:numCache>
                <c:formatCode>0.00%</c:formatCode>
                <c:ptCount val="6"/>
                <c:pt idx="0">
                  <c:v>4.4365920691009079E-2</c:v>
                </c:pt>
                <c:pt idx="1">
                  <c:v>6.1194029850746186E-2</c:v>
                </c:pt>
                <c:pt idx="2">
                  <c:v>8.3208709696715719E-2</c:v>
                </c:pt>
                <c:pt idx="3">
                  <c:v>6.390578779929669E-2</c:v>
                </c:pt>
                <c:pt idx="4">
                  <c:v>7.3460456392622706E-2</c:v>
                </c:pt>
                <c:pt idx="5">
                  <c:v>6.1560693641618362E-2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BF-404C-A67A-1B10336B0C0A}"/>
            </c:ext>
          </c:extLst>
        </c:ser>
        <c:ser>
          <c:idx val="2"/>
          <c:order val="2"/>
          <c:tx>
            <c:strRef>
              <c:f>'Question-4'!$Q$4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'Question-4'!$Q$5:$Q$10</c:f>
              <c:numCache>
                <c:formatCode>0.00%</c:formatCode>
                <c:ptCount val="6"/>
                <c:pt idx="0">
                  <c:v>5.7007717201892044E-2</c:v>
                </c:pt>
                <c:pt idx="1">
                  <c:v>6.3157894736842107E-2</c:v>
                </c:pt>
                <c:pt idx="2">
                  <c:v>5.4468853445681462E-2</c:v>
                </c:pt>
                <c:pt idx="3">
                  <c:v>4.3620501635768812E-2</c:v>
                </c:pt>
                <c:pt idx="4">
                  <c:v>4.4490644490644563E-2</c:v>
                </c:pt>
                <c:pt idx="5">
                  <c:v>4.9446202531645569E-2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BF-404C-A67A-1B10336B0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'Question-4'!$O$22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'Question-4'!$O$23:$O$28</c:f>
              <c:numCache>
                <c:formatCode>0.00%</c:formatCode>
                <c:ptCount val="6"/>
                <c:pt idx="0">
                  <c:v>4.3322990457233717E-3</c:v>
                </c:pt>
                <c:pt idx="1">
                  <c:v>2.8139534883720847E-2</c:v>
                </c:pt>
                <c:pt idx="2">
                  <c:v>7.820308950477059E-2</c:v>
                </c:pt>
                <c:pt idx="3">
                  <c:v>5.1524443040940129E-2</c:v>
                </c:pt>
                <c:pt idx="4">
                  <c:v>5.1062404287902124E-2</c:v>
                </c:pt>
                <c:pt idx="5">
                  <c:v>3.2729555236728838E-2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4B-499D-93D0-697D87BD7DFA}"/>
            </c:ext>
          </c:extLst>
        </c:ser>
        <c:ser>
          <c:idx val="1"/>
          <c:order val="1"/>
          <c:tx>
            <c:strRef>
              <c:f>'Question-4'!$P$22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'Question-4'!$P$23:$P$28</c:f>
              <c:numCache>
                <c:formatCode>0.00%</c:formatCode>
                <c:ptCount val="6"/>
                <c:pt idx="0">
                  <c:v>4.7231270358306043E-2</c:v>
                </c:pt>
                <c:pt idx="1">
                  <c:v>4.9439938200077298E-2</c:v>
                </c:pt>
                <c:pt idx="2">
                  <c:v>4.65787006994016E-2</c:v>
                </c:pt>
                <c:pt idx="3">
                  <c:v>7.7773937089526443E-2</c:v>
                </c:pt>
                <c:pt idx="4">
                  <c:v>6.6539318688315752E-2</c:v>
                </c:pt>
                <c:pt idx="5">
                  <c:v>7.3799644339063539E-2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4B-499D-93D0-697D87BD7DFA}"/>
            </c:ext>
          </c:extLst>
        </c:ser>
        <c:ser>
          <c:idx val="2"/>
          <c:order val="2"/>
          <c:tx>
            <c:strRef>
              <c:f>'Question-4'!$Q$22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'Question-4'!$Q$23:$Q$28</c:f>
              <c:numCache>
                <c:formatCode>0.00%</c:formatCode>
                <c:ptCount val="6"/>
                <c:pt idx="0">
                  <c:v>4.9322770253002836E-2</c:v>
                </c:pt>
                <c:pt idx="1">
                  <c:v>4.3677606177606236E-2</c:v>
                </c:pt>
                <c:pt idx="2">
                  <c:v>1.5857172024228278E-2</c:v>
                </c:pt>
                <c:pt idx="3">
                  <c:v>1.8319673927334662E-2</c:v>
                </c:pt>
                <c:pt idx="4">
                  <c:v>4.2863266180882861E-2</c:v>
                </c:pt>
                <c:pt idx="5">
                  <c:v>4.9714751426242938E-2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4B-499D-93D0-697D87BD7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'Question-4'!$O$40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'Question-4'!$O$41:$O$46</c:f>
              <c:numCache>
                <c:formatCode>0.00%</c:formatCode>
                <c:ptCount val="6"/>
                <c:pt idx="0">
                  <c:v>2.1880819366852832E-2</c:v>
                </c:pt>
                <c:pt idx="1">
                  <c:v>3.3008935177280484E-3</c:v>
                </c:pt>
                <c:pt idx="2">
                  <c:v>7.546527462551067E-2</c:v>
                </c:pt>
                <c:pt idx="3">
                  <c:v>4.6194885474645377E-2</c:v>
                </c:pt>
                <c:pt idx="4">
                  <c:v>5.8185165447410675E-2</c:v>
                </c:pt>
                <c:pt idx="5">
                  <c:v>2.9309488325881601E-2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0C-4BDB-95DF-D50171E1EC75}"/>
            </c:ext>
          </c:extLst>
        </c:ser>
        <c:ser>
          <c:idx val="1"/>
          <c:order val="1"/>
          <c:tx>
            <c:strRef>
              <c:f>'Question-4'!$P$40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'Question-4'!$P$41:$P$46</c:f>
              <c:numCache>
                <c:formatCode>0.00%</c:formatCode>
                <c:ptCount val="6"/>
                <c:pt idx="0">
                  <c:v>4.4984076433121065E-2</c:v>
                </c:pt>
                <c:pt idx="1">
                  <c:v>5.7488653555219545E-2</c:v>
                </c:pt>
                <c:pt idx="2">
                  <c:v>6.6881836112605259E-2</c:v>
                </c:pt>
                <c:pt idx="3">
                  <c:v>6.7862582501269295E-2</c:v>
                </c:pt>
                <c:pt idx="4">
                  <c:v>7.08215297450423E-2</c:v>
                </c:pt>
                <c:pt idx="5">
                  <c:v>6.592765460910141E-2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0C-4BDB-95DF-D50171E1EC75}"/>
            </c:ext>
          </c:extLst>
        </c:ser>
        <c:ser>
          <c:idx val="2"/>
          <c:order val="2"/>
          <c:tx>
            <c:strRef>
              <c:f>'Question-4'!$Q$40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'Question-4'!$Q$41:$Q$46</c:f>
              <c:numCache>
                <c:formatCode>0.00%</c:formatCode>
                <c:ptCount val="6"/>
                <c:pt idx="0">
                  <c:v>5.2445789208270331E-2</c:v>
                </c:pt>
                <c:pt idx="1">
                  <c:v>5.2744119743407099E-2</c:v>
                </c:pt>
                <c:pt idx="2">
                  <c:v>3.1350497432907645E-2</c:v>
                </c:pt>
                <c:pt idx="3">
                  <c:v>2.8197436596672929E-2</c:v>
                </c:pt>
                <c:pt idx="4">
                  <c:v>4.3505807814149998E-2</c:v>
                </c:pt>
                <c:pt idx="5">
                  <c:v>4.980919863426405E-2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0C-4BDB-95DF-D50171E1E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'Question-4'!$O$59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'Question-4'!$O$60:$O$65</c:f>
              <c:numCache>
                <c:formatCode>0.00%</c:formatCode>
                <c:ptCount val="6"/>
                <c:pt idx="0">
                  <c:v>4.3918724457491481E-2</c:v>
                </c:pt>
                <c:pt idx="1">
                  <c:v>-1.5327372688398904E-2</c:v>
                </c:pt>
                <c:pt idx="2">
                  <c:v>0.10309161172993828</c:v>
                </c:pt>
                <c:pt idx="3">
                  <c:v>8.3513875992984682E-2</c:v>
                </c:pt>
                <c:pt idx="4">
                  <c:v>4.9619983540688389E-2</c:v>
                </c:pt>
                <c:pt idx="5">
                  <c:v>5.76405016256386E-2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7-47FC-AAD6-FA117C556B0B}"/>
            </c:ext>
          </c:extLst>
        </c:ser>
        <c:ser>
          <c:idx val="1"/>
          <c:order val="1"/>
          <c:tx>
            <c:strRef>
              <c:f>'Question-4'!$P$59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'Question-4'!$P$60:$P$65</c:f>
              <c:numCache>
                <c:formatCode>0.00%</c:formatCode>
                <c:ptCount val="6"/>
                <c:pt idx="0">
                  <c:v>4.6391752577319548E-2</c:v>
                </c:pt>
                <c:pt idx="1">
                  <c:v>6.8783068783068516E-2</c:v>
                </c:pt>
                <c:pt idx="2">
                  <c:v>4.3447545037089204E-2</c:v>
                </c:pt>
                <c:pt idx="3">
                  <c:v>6.70690811535882E-2</c:v>
                </c:pt>
                <c:pt idx="4">
                  <c:v>5.6793222466269291E-2</c:v>
                </c:pt>
                <c:pt idx="5">
                  <c:v>6.3036401302160441E-2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B7-47FC-AAD6-FA117C556B0B}"/>
            </c:ext>
          </c:extLst>
        </c:ser>
        <c:ser>
          <c:idx val="2"/>
          <c:order val="2"/>
          <c:tx>
            <c:strRef>
              <c:f>'Question-4'!$Q$59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'Question-4'!$Q$60:$Q$65</c:f>
              <c:numCache>
                <c:formatCode>0.00%</c:formatCode>
                <c:ptCount val="6"/>
                <c:pt idx="0">
                  <c:v>5.6114745848012251E-2</c:v>
                </c:pt>
                <c:pt idx="1">
                  <c:v>6.9464201043148585E-2</c:v>
                </c:pt>
                <c:pt idx="2">
                  <c:v>2.6710816777041995E-2</c:v>
                </c:pt>
                <c:pt idx="3">
                  <c:v>1.583565161566465E-2</c:v>
                </c:pt>
                <c:pt idx="4">
                  <c:v>4.6095558829720135E-2</c:v>
                </c:pt>
                <c:pt idx="5">
                  <c:v>5.0270378529942074E-2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B7-47FC-AAD6-FA117C556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1931264"/>
        <c:axId val="1351932704"/>
      </c:barChart>
      <c:catAx>
        <c:axId val="13519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2704"/>
        <c:crosses val="autoZero"/>
        <c:auto val="1"/>
        <c:lblAlgn val="ctr"/>
        <c:lblOffset val="100"/>
        <c:noMultiLvlLbl val="0"/>
      </c:catAx>
      <c:valAx>
        <c:axId val="13519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'Question-4'!$O$77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'Question-4'!$O$78:$O$83</c:f>
              <c:numCache>
                <c:formatCode>0.00%</c:formatCode>
                <c:ptCount val="6"/>
                <c:pt idx="0">
                  <c:v>3.1695073546579473E-2</c:v>
                </c:pt>
                <c:pt idx="1">
                  <c:v>-9.7237316250087095E-4</c:v>
                </c:pt>
                <c:pt idx="2">
                  <c:v>0.12176804448776005</c:v>
                </c:pt>
                <c:pt idx="3">
                  <c:v>9.2525958671738587E-2</c:v>
                </c:pt>
                <c:pt idx="4">
                  <c:v>5.212207916070586E-2</c:v>
                </c:pt>
                <c:pt idx="5">
                  <c:v>4.9892532126034624E-2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5-486E-AF21-BBB068201BF3}"/>
            </c:ext>
          </c:extLst>
        </c:ser>
        <c:ser>
          <c:idx val="1"/>
          <c:order val="1"/>
          <c:tx>
            <c:strRef>
              <c:f>'Question-4'!$P$77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'Question-4'!$P$78:$P$83</c:f>
              <c:numCache>
                <c:formatCode>0.00%</c:formatCode>
                <c:ptCount val="6"/>
                <c:pt idx="0">
                  <c:v>3.8193018480492745E-2</c:v>
                </c:pt>
                <c:pt idx="1">
                  <c:v>5.3438113948919543E-2</c:v>
                </c:pt>
                <c:pt idx="2">
                  <c:v>5.1576994434137206E-2</c:v>
                </c:pt>
                <c:pt idx="3">
                  <c:v>8.7093389296957105E-2</c:v>
                </c:pt>
                <c:pt idx="4">
                  <c:v>5.0352790250160512E-2</c:v>
                </c:pt>
                <c:pt idx="5">
                  <c:v>7.3882639100030442E-2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5-486E-AF21-BBB068201BF3}"/>
            </c:ext>
          </c:extLst>
        </c:ser>
        <c:ser>
          <c:idx val="2"/>
          <c:order val="2"/>
          <c:tx>
            <c:strRef>
              <c:f>'Question-4'!$Q$77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'Question-4'!$Q$78:$Q$83</c:f>
              <c:numCache>
                <c:formatCode>0.00%</c:formatCode>
                <c:ptCount val="6"/>
                <c:pt idx="0">
                  <c:v>4.6499612503229135E-2</c:v>
                </c:pt>
                <c:pt idx="1">
                  <c:v>5.4545454545454515E-2</c:v>
                </c:pt>
                <c:pt idx="2">
                  <c:v>3.2280538783093574E-2</c:v>
                </c:pt>
                <c:pt idx="3">
                  <c:v>3.2952252858103409E-2</c:v>
                </c:pt>
                <c:pt idx="4">
                  <c:v>4.4613710554951162E-2</c:v>
                </c:pt>
                <c:pt idx="5">
                  <c:v>5.7018453244868338E-2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5-486E-AF21-BBB06820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8455712"/>
        <c:axId val="1508450912"/>
      </c:barChart>
      <c:catAx>
        <c:axId val="15084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0912"/>
        <c:crosses val="autoZero"/>
        <c:auto val="1"/>
        <c:lblAlgn val="ctr"/>
        <c:lblOffset val="100"/>
        <c:noMultiLvlLbl val="0"/>
      </c:catAx>
      <c:valAx>
        <c:axId val="15084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'Question-4'!$O$94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'Question-4'!$O$95:$O$100</c:f>
              <c:numCache>
                <c:formatCode>0.00%</c:formatCode>
                <c:ptCount val="6"/>
                <c:pt idx="0">
                  <c:v>3.9194117987610889E-2</c:v>
                </c:pt>
                <c:pt idx="1">
                  <c:v>-9.607281307938852E-3</c:v>
                </c:pt>
                <c:pt idx="2">
                  <c:v>0.10990076422949714</c:v>
                </c:pt>
                <c:pt idx="3">
                  <c:v>8.6940836940836971E-2</c:v>
                </c:pt>
                <c:pt idx="4">
                  <c:v>5.0276908259089856E-2</c:v>
                </c:pt>
                <c:pt idx="5">
                  <c:v>5.5078088901210742E-2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2-483D-976D-2FFC3914A913}"/>
            </c:ext>
          </c:extLst>
        </c:ser>
        <c:ser>
          <c:idx val="1"/>
          <c:order val="1"/>
          <c:tx>
            <c:strRef>
              <c:f>'Question-4'!$P$94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'Question-4'!$P$95:$P$100</c:f>
              <c:numCache>
                <c:formatCode>0.00%</c:formatCode>
                <c:ptCount val="6"/>
                <c:pt idx="0">
                  <c:v>4.3408360128617408E-2</c:v>
                </c:pt>
                <c:pt idx="1">
                  <c:v>6.3315425940138143E-2</c:v>
                </c:pt>
                <c:pt idx="2">
                  <c:v>4.641957538682992E-2</c:v>
                </c:pt>
                <c:pt idx="3">
                  <c:v>7.4616695059625135E-2</c:v>
                </c:pt>
                <c:pt idx="4">
                  <c:v>5.4096804808604758E-2</c:v>
                </c:pt>
                <c:pt idx="5">
                  <c:v>6.7284688995215322E-2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2-483D-976D-2FFC3914A913}"/>
            </c:ext>
          </c:extLst>
        </c:ser>
        <c:ser>
          <c:idx val="2"/>
          <c:order val="2"/>
          <c:tx>
            <c:strRef>
              <c:f>'Question-4'!$Q$94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'Question-4'!$Q$95:$Q$100</c:f>
              <c:numCache>
                <c:formatCode>0.00%</c:formatCode>
                <c:ptCount val="6"/>
                <c:pt idx="0">
                  <c:v>5.0981391791995623E-2</c:v>
                </c:pt>
                <c:pt idx="1">
                  <c:v>6.1549601737871114E-2</c:v>
                </c:pt>
                <c:pt idx="2">
                  <c:v>2.8992072480181357E-2</c:v>
                </c:pt>
                <c:pt idx="3">
                  <c:v>2.4769837790442943E-2</c:v>
                </c:pt>
                <c:pt idx="4">
                  <c:v>4.5191689869351091E-2</c:v>
                </c:pt>
                <c:pt idx="5">
                  <c:v>5.4252498470324345E-2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2-483D-976D-2FFC3914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5041168"/>
        <c:axId val="1295042608"/>
      </c:barChart>
      <c:catAx>
        <c:axId val="12950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2608"/>
        <c:crosses val="autoZero"/>
        <c:auto val="1"/>
        <c:lblAlgn val="ctr"/>
        <c:lblOffset val="100"/>
        <c:noMultiLvlLbl val="0"/>
      </c:catAx>
      <c:valAx>
        <c:axId val="129504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9B-40BD-BC2A-6D070DCC8B03}"/>
            </c:ext>
          </c:extLst>
        </c:ser>
        <c:ser>
          <c:idx val="3"/>
          <c:order val="1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9B-40BD-BC2A-6D070DCC8B03}"/>
            </c:ext>
          </c:extLst>
        </c:ser>
        <c:ser>
          <c:idx val="0"/>
          <c:order val="2"/>
          <c:tx>
            <c:strRef>
              <c:f>'Question-1'!$D$4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'Question-1'!$D$5:$D$10</c:f>
              <c:numCache>
                <c:formatCode>General</c:formatCode>
                <c:ptCount val="6"/>
                <c:pt idx="0">
                  <c:v>2290.7000000000007</c:v>
                </c:pt>
                <c:pt idx="1">
                  <c:v>569.90000000000009</c:v>
                </c:pt>
                <c:pt idx="2">
                  <c:v>372.70000000000005</c:v>
                </c:pt>
                <c:pt idx="3">
                  <c:v>535.70000000000005</c:v>
                </c:pt>
                <c:pt idx="4">
                  <c:v>553.20000000000005</c:v>
                </c:pt>
                <c:pt idx="5">
                  <c:v>352.2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19B-40BD-BC2A-6D070DCC8B03}"/>
            </c:ext>
          </c:extLst>
        </c:ser>
        <c:ser>
          <c:idx val="1"/>
          <c:order val="3"/>
          <c:tx>
            <c:strRef>
              <c:f>'Question-1'!$E$4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8-219B-40BD-BC2A-6D070DCC8B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A-219B-40BD-BC2A-6D070DCC8B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C-219B-40BD-BC2A-6D070DCC8B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E-219B-40BD-BC2A-6D070DCC8B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0-219B-40BD-BC2A-6D070DCC8B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2-219B-40BD-BC2A-6D070DCC8B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'Question-1'!$C$5:$C$10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'Question-1'!$E$5:$E$10</c:f>
              <c:numCache>
                <c:formatCode>0.00%</c:formatCode>
                <c:ptCount val="6"/>
                <c:pt idx="0">
                  <c:v>0.4900521992127333</c:v>
                </c:pt>
                <c:pt idx="1">
                  <c:v>0.12191939072394319</c:v>
                </c:pt>
                <c:pt idx="2">
                  <c:v>7.9732158137942835E-2</c:v>
                </c:pt>
                <c:pt idx="3">
                  <c:v>0.11460294369330823</c:v>
                </c:pt>
                <c:pt idx="4">
                  <c:v>0.11834673968851617</c:v>
                </c:pt>
                <c:pt idx="5">
                  <c:v>7.5346568543556383E-2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219B-40BD-BC2A-6D070DCC8B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'Question-1'!$J$4</c:f>
              <c:strCache>
                <c:ptCount val="1"/>
                <c:pt idx="0">
                  <c:v>CPI at Urban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236-44CD-B5F7-D8C45F61EA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236-44CD-B5F7-D8C45F61EA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236-44CD-B5F7-D8C45F61EA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236-44CD-B5F7-D8C45F61EA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236-44CD-B5F7-D8C45F61EA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236-44CD-B5F7-D8C45F61E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'Question-1'!$J$5:$J$10</c:f>
              <c:numCache>
                <c:formatCode>General</c:formatCode>
                <c:ptCount val="6"/>
                <c:pt idx="0">
                  <c:v>2335.1</c:v>
                </c:pt>
                <c:pt idx="1">
                  <c:v>528.70000000000005</c:v>
                </c:pt>
                <c:pt idx="2">
                  <c:v>367.79999999999995</c:v>
                </c:pt>
                <c:pt idx="3">
                  <c:v>520.5</c:v>
                </c:pt>
                <c:pt idx="4">
                  <c:v>545</c:v>
                </c:pt>
                <c:pt idx="5">
                  <c:v>343.8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6-44CD-B5F7-D8C45F61EAEF}"/>
            </c:ext>
          </c:extLst>
        </c:ser>
        <c:ser>
          <c:idx val="1"/>
          <c:order val="1"/>
          <c:tx>
            <c:strRef>
              <c:f>'Question-1'!$K$4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8236-44CD-B5F7-D8C45F61EA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8236-44CD-B5F7-D8C45F61EAE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8236-44CD-B5F7-D8C45F61EAE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8236-44CD-B5F7-D8C45F61EAE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8236-44CD-B5F7-D8C45F61EAE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8236-44CD-B5F7-D8C45F61EA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'Question-1'!$I$5:$I$10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'Question-1'!$K$5:$K$10</c:f>
              <c:numCache>
                <c:formatCode>0.00%</c:formatCode>
                <c:ptCount val="6"/>
                <c:pt idx="0">
                  <c:v>0.50315671529229233</c:v>
                </c:pt>
                <c:pt idx="1">
                  <c:v>0.11392186860307267</c:v>
                </c:pt>
                <c:pt idx="2">
                  <c:v>7.9251869249499007E-2</c:v>
                </c:pt>
                <c:pt idx="3">
                  <c:v>0.11215496994117519</c:v>
                </c:pt>
                <c:pt idx="4">
                  <c:v>0.11743411838221034</c:v>
                </c:pt>
                <c:pt idx="5">
                  <c:v>7.4080458531750298E-2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236-44CD-B5F7-D8C45F61EA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CPI at Rural</a:t>
            </a:r>
            <a:r>
              <a:rPr lang="en-US" baseline="0"/>
              <a:t> + 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'Question-1'!$P$4</c:f>
              <c:strCache>
                <c:ptCount val="1"/>
                <c:pt idx="0">
                  <c:v>CPI at Rural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4AC-4387-AB34-927BB16994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4AC-4387-AB34-927BB16994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4AC-4387-AB34-927BB16994E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4AC-4387-AB34-927BB16994E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4AC-4387-AB34-927BB16994E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4AC-4387-AB34-927BB1699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'Question-1'!$P$5:$P$10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370.9</c:v>
                </c:pt>
                <c:pt idx="3">
                  <c:v>527.9</c:v>
                </c:pt>
                <c:pt idx="4">
                  <c:v>547.9</c:v>
                </c:pt>
                <c:pt idx="5">
                  <c:v>347.6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4AC-4387-AB34-927BB16994E0}"/>
            </c:ext>
          </c:extLst>
        </c:ser>
        <c:ser>
          <c:idx val="1"/>
          <c:order val="1"/>
          <c:tx>
            <c:strRef>
              <c:f>'Question-1'!$Q$4</c:f>
              <c:strCache>
                <c:ptCount val="1"/>
                <c:pt idx="0">
                  <c:v>% Contribution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D4AC-4387-AB34-927BB16994E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D4AC-4387-AB34-927BB16994E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D4AC-4387-AB34-927BB16994E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D4AC-4387-AB34-927BB16994E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D4AC-4387-AB34-927BB16994E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D4AC-4387-AB34-927BB16994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'Question-1'!$O$5:$O$10</c:f>
              <c:strCache>
                <c:ptCount val="6"/>
                <c:pt idx="0">
                  <c:v>FOOD</c:v>
                </c:pt>
                <c:pt idx="1">
                  <c:v>CLOTHING</c:v>
                </c:pt>
                <c:pt idx="2">
                  <c:v>HEALTH</c:v>
                </c:pt>
                <c:pt idx="3">
                  <c:v>ESSENTIALS</c:v>
                </c:pt>
                <c:pt idx="4">
                  <c:v>LUXURIES</c:v>
                </c:pt>
                <c:pt idx="5">
                  <c:v>ENERGY</c:v>
                </c:pt>
              </c:strCache>
            </c:strRef>
          </c:cat>
          <c:val>
            <c:numRef>
              <c:f>'Question-1'!$Q$5:$Q$10</c:f>
              <c:numCache>
                <c:formatCode>0.00%</c:formatCode>
                <c:ptCount val="6"/>
                <c:pt idx="0">
                  <c:v>0.49563853557923682</c:v>
                </c:pt>
                <c:pt idx="1">
                  <c:v>0.11885527672739772</c:v>
                </c:pt>
                <c:pt idx="2">
                  <c:v>7.9688037126160183E-2</c:v>
                </c:pt>
                <c:pt idx="3">
                  <c:v>0.11341955998624956</c:v>
                </c:pt>
                <c:pt idx="4">
                  <c:v>0.1177165692677896</c:v>
                </c:pt>
                <c:pt idx="5">
                  <c:v>7.4682021313166036E-2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4AC-4387-AB34-927BB16994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YoY_Inflation% of 2017-2022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'Question-2'!$O$5</c:f>
              <c:strCache>
                <c:ptCount val="1"/>
                <c:pt idx="0">
                  <c:v>YoY_Inflation%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'Question-2'!$N$6:$N$11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'Question-2'!$O$6:$O$11</c:f>
              <c:numCache>
                <c:formatCode>0.00%</c:formatCode>
                <c:ptCount val="6"/>
                <c:pt idx="0">
                  <c:v>4.3146463164073764E-2</c:v>
                </c:pt>
                <c:pt idx="1">
                  <c:v>2.0138203356366992E-2</c:v>
                </c:pt>
                <c:pt idx="2">
                  <c:v>7.0227991346314134E-2</c:v>
                </c:pt>
                <c:pt idx="3">
                  <c:v>6.5817409766454366E-2</c:v>
                </c:pt>
                <c:pt idx="4">
                  <c:v>5.8146637023282856E-2</c:v>
                </c:pt>
                <c:pt idx="5">
                  <c:v>6.0118386977432374E-2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1-4753-B65F-F27C67BD0E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4605664"/>
        <c:axId val="1492569872"/>
      </c:lineChart>
      <c:catAx>
        <c:axId val="1444605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69872"/>
        <c:crosses val="autoZero"/>
        <c:auto val="1"/>
        <c:lblAlgn val="ctr"/>
        <c:lblOffset val="100"/>
        <c:noMultiLvlLbl val="0"/>
      </c:catAx>
      <c:valAx>
        <c:axId val="149256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0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'Question-4'!$O$5:$O$10</c:f>
              <c:numCache>
                <c:formatCode>0.00%</c:formatCode>
                <c:ptCount val="6"/>
                <c:pt idx="0">
                  <c:v>3.2265539014076243E-2</c:v>
                </c:pt>
                <c:pt idx="1">
                  <c:v>-1.0561797752808836E-2</c:v>
                </c:pt>
                <c:pt idx="2">
                  <c:v>7.6090043355610426E-2</c:v>
                </c:pt>
                <c:pt idx="3">
                  <c:v>4.3395400345102884E-2</c:v>
                </c:pt>
                <c:pt idx="4">
                  <c:v>6.3234935350085564E-2</c:v>
                </c:pt>
                <c:pt idx="5">
                  <c:v>2.6828605093809604E-2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D-4E48-835D-C51EEF590D0B}"/>
            </c:ext>
          </c:extLst>
        </c:ser>
        <c:ser>
          <c:idx val="1"/>
          <c:order val="1"/>
          <c:tx>
            <c:strRef>
              <c:f>'Question-4'!$P$4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'Question-4'!$P$5:$P$10</c:f>
              <c:numCache>
                <c:formatCode>0.00%</c:formatCode>
                <c:ptCount val="6"/>
                <c:pt idx="0">
                  <c:v>4.4365920691009079E-2</c:v>
                </c:pt>
                <c:pt idx="1">
                  <c:v>6.1194029850746186E-2</c:v>
                </c:pt>
                <c:pt idx="2">
                  <c:v>8.3208709696715719E-2</c:v>
                </c:pt>
                <c:pt idx="3">
                  <c:v>6.390578779929669E-2</c:v>
                </c:pt>
                <c:pt idx="4">
                  <c:v>7.3460456392622706E-2</c:v>
                </c:pt>
                <c:pt idx="5">
                  <c:v>6.1560693641618362E-2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D-4E48-835D-C51EEF590D0B}"/>
            </c:ext>
          </c:extLst>
        </c:ser>
        <c:ser>
          <c:idx val="2"/>
          <c:order val="2"/>
          <c:tx>
            <c:strRef>
              <c:f>'Question-4'!$Q$4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'Question-4'!$N$5:$N$10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'Question-4'!$Q$5:$Q$10</c:f>
              <c:numCache>
                <c:formatCode>0.00%</c:formatCode>
                <c:ptCount val="6"/>
                <c:pt idx="0">
                  <c:v>5.7007717201892044E-2</c:v>
                </c:pt>
                <c:pt idx="1">
                  <c:v>6.3157894736842107E-2</c:v>
                </c:pt>
                <c:pt idx="2">
                  <c:v>5.4468853445681462E-2</c:v>
                </c:pt>
                <c:pt idx="3">
                  <c:v>4.3620501635768812E-2</c:v>
                </c:pt>
                <c:pt idx="4">
                  <c:v>4.4490644490644563E-2</c:v>
                </c:pt>
                <c:pt idx="5">
                  <c:v>4.9446202531645569E-2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D-4E48-835D-C51EEF590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'Question-4'!$O$22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'Question-4'!$O$23:$O$28</c:f>
              <c:numCache>
                <c:formatCode>0.00%</c:formatCode>
                <c:ptCount val="6"/>
                <c:pt idx="0">
                  <c:v>4.3322990457233717E-3</c:v>
                </c:pt>
                <c:pt idx="1">
                  <c:v>2.8139534883720847E-2</c:v>
                </c:pt>
                <c:pt idx="2">
                  <c:v>7.820308950477059E-2</c:v>
                </c:pt>
                <c:pt idx="3">
                  <c:v>5.1524443040940129E-2</c:v>
                </c:pt>
                <c:pt idx="4">
                  <c:v>5.1062404287902124E-2</c:v>
                </c:pt>
                <c:pt idx="5">
                  <c:v>3.2729555236728838E-2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5-45B4-B0A6-3AF0DC91E3EC}"/>
            </c:ext>
          </c:extLst>
        </c:ser>
        <c:ser>
          <c:idx val="1"/>
          <c:order val="1"/>
          <c:tx>
            <c:strRef>
              <c:f>'Question-4'!$P$22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'Question-4'!$P$23:$P$28</c:f>
              <c:numCache>
                <c:formatCode>0.00%</c:formatCode>
                <c:ptCount val="6"/>
                <c:pt idx="0">
                  <c:v>4.7231270358306043E-2</c:v>
                </c:pt>
                <c:pt idx="1">
                  <c:v>4.9439938200077298E-2</c:v>
                </c:pt>
                <c:pt idx="2">
                  <c:v>4.65787006994016E-2</c:v>
                </c:pt>
                <c:pt idx="3">
                  <c:v>7.7773937089526443E-2</c:v>
                </c:pt>
                <c:pt idx="4">
                  <c:v>6.6539318688315752E-2</c:v>
                </c:pt>
                <c:pt idx="5">
                  <c:v>7.3799644339063539E-2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5-45B4-B0A6-3AF0DC91E3EC}"/>
            </c:ext>
          </c:extLst>
        </c:ser>
        <c:ser>
          <c:idx val="2"/>
          <c:order val="2"/>
          <c:tx>
            <c:strRef>
              <c:f>'Question-4'!$Q$22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'Question-4'!$N$23:$N$28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'Question-4'!$Q$23:$Q$28</c:f>
              <c:numCache>
                <c:formatCode>0.00%</c:formatCode>
                <c:ptCount val="6"/>
                <c:pt idx="0">
                  <c:v>4.9322770253002836E-2</c:v>
                </c:pt>
                <c:pt idx="1">
                  <c:v>4.3677606177606236E-2</c:v>
                </c:pt>
                <c:pt idx="2">
                  <c:v>1.5857172024228278E-2</c:v>
                </c:pt>
                <c:pt idx="3">
                  <c:v>1.8319673927334662E-2</c:v>
                </c:pt>
                <c:pt idx="4">
                  <c:v>4.2863266180882861E-2</c:v>
                </c:pt>
                <c:pt idx="5">
                  <c:v>4.9714751426242938E-2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5-45B4-B0A6-3AF0DC91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'Question-4'!$O$40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'Question-4'!$O$41:$O$46</c:f>
              <c:numCache>
                <c:formatCode>0.00%</c:formatCode>
                <c:ptCount val="6"/>
                <c:pt idx="0">
                  <c:v>2.1880819366852832E-2</c:v>
                </c:pt>
                <c:pt idx="1">
                  <c:v>3.3008935177280484E-3</c:v>
                </c:pt>
                <c:pt idx="2">
                  <c:v>7.546527462551067E-2</c:v>
                </c:pt>
                <c:pt idx="3">
                  <c:v>4.6194885474645377E-2</c:v>
                </c:pt>
                <c:pt idx="4">
                  <c:v>5.8185165447410675E-2</c:v>
                </c:pt>
                <c:pt idx="5">
                  <c:v>2.9309488325881601E-2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A-4DB7-AE3B-B45B7F25CD30}"/>
            </c:ext>
          </c:extLst>
        </c:ser>
        <c:ser>
          <c:idx val="1"/>
          <c:order val="1"/>
          <c:tx>
            <c:strRef>
              <c:f>'Question-4'!$P$40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'Question-4'!$P$41:$P$46</c:f>
              <c:numCache>
                <c:formatCode>0.00%</c:formatCode>
                <c:ptCount val="6"/>
                <c:pt idx="0">
                  <c:v>4.4984076433121065E-2</c:v>
                </c:pt>
                <c:pt idx="1">
                  <c:v>5.7488653555219545E-2</c:v>
                </c:pt>
                <c:pt idx="2">
                  <c:v>6.6881836112605259E-2</c:v>
                </c:pt>
                <c:pt idx="3">
                  <c:v>6.7862582501269295E-2</c:v>
                </c:pt>
                <c:pt idx="4">
                  <c:v>7.08215297450423E-2</c:v>
                </c:pt>
                <c:pt idx="5">
                  <c:v>6.592765460910141E-2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A-4DB7-AE3B-B45B7F25CD30}"/>
            </c:ext>
          </c:extLst>
        </c:ser>
        <c:ser>
          <c:idx val="2"/>
          <c:order val="2"/>
          <c:tx>
            <c:strRef>
              <c:f>'Question-4'!$Q$40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'Question-4'!$N$41:$N$46</c:f>
              <c:strCache>
                <c:ptCount val="6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  <c:pt idx="5">
                  <c:v>2022-23</c:v>
                </c:pt>
              </c:strCache>
            </c:strRef>
          </c:cat>
          <c:val>
            <c:numRef>
              <c:f>'Question-4'!$Q$41:$Q$46</c:f>
              <c:numCache>
                <c:formatCode>0.00%</c:formatCode>
                <c:ptCount val="6"/>
                <c:pt idx="0">
                  <c:v>5.2445789208270331E-2</c:v>
                </c:pt>
                <c:pt idx="1">
                  <c:v>5.2744119743407099E-2</c:v>
                </c:pt>
                <c:pt idx="2">
                  <c:v>3.1350497432907645E-2</c:v>
                </c:pt>
                <c:pt idx="3">
                  <c:v>2.8197436596672929E-2</c:v>
                </c:pt>
                <c:pt idx="4">
                  <c:v>4.3505807814149998E-2</c:v>
                </c:pt>
                <c:pt idx="5">
                  <c:v>4.980919863426405E-2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9A-4DB7-AE3B-B45B7F25C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9894096"/>
        <c:axId val="1689893136"/>
      </c:barChart>
      <c:catAx>
        <c:axId val="16898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3136"/>
        <c:crosses val="autoZero"/>
        <c:auto val="1"/>
        <c:lblAlgn val="ctr"/>
        <c:lblOffset val="100"/>
        <c:noMultiLvlLbl val="0"/>
      </c:catAx>
      <c:valAx>
        <c:axId val="16898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8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'Question-4'!$O$59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'Question-4'!$O$60:$O$65</c:f>
              <c:numCache>
                <c:formatCode>0.00%</c:formatCode>
                <c:ptCount val="6"/>
                <c:pt idx="0">
                  <c:v>4.3918724457491481E-2</c:v>
                </c:pt>
                <c:pt idx="1">
                  <c:v>-1.5327372688398904E-2</c:v>
                </c:pt>
                <c:pt idx="2">
                  <c:v>0.10309161172993828</c:v>
                </c:pt>
                <c:pt idx="3">
                  <c:v>8.3513875992984682E-2</c:v>
                </c:pt>
                <c:pt idx="4">
                  <c:v>4.9619983540688389E-2</c:v>
                </c:pt>
                <c:pt idx="5">
                  <c:v>5.76405016256386E-2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9-4F8A-8B68-9065FBA4A8B7}"/>
            </c:ext>
          </c:extLst>
        </c:ser>
        <c:ser>
          <c:idx val="1"/>
          <c:order val="1"/>
          <c:tx>
            <c:strRef>
              <c:f>'Question-4'!$P$59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'Question-4'!$P$60:$P$65</c:f>
              <c:numCache>
                <c:formatCode>0.00%</c:formatCode>
                <c:ptCount val="6"/>
                <c:pt idx="0">
                  <c:v>4.6391752577319548E-2</c:v>
                </c:pt>
                <c:pt idx="1">
                  <c:v>6.8783068783068516E-2</c:v>
                </c:pt>
                <c:pt idx="2">
                  <c:v>4.3447545037089204E-2</c:v>
                </c:pt>
                <c:pt idx="3">
                  <c:v>6.70690811535882E-2</c:v>
                </c:pt>
                <c:pt idx="4">
                  <c:v>5.6793222466269291E-2</c:v>
                </c:pt>
                <c:pt idx="5">
                  <c:v>6.3036401302160441E-2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C9-4F8A-8B68-9065FBA4A8B7}"/>
            </c:ext>
          </c:extLst>
        </c:ser>
        <c:ser>
          <c:idx val="2"/>
          <c:order val="2"/>
          <c:tx>
            <c:strRef>
              <c:f>'Question-4'!$Q$59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'Question-4'!$N$60:$N$65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'Question-4'!$Q$60:$Q$65</c:f>
              <c:numCache>
                <c:formatCode>0.00%</c:formatCode>
                <c:ptCount val="6"/>
                <c:pt idx="0">
                  <c:v>5.6114745848012251E-2</c:v>
                </c:pt>
                <c:pt idx="1">
                  <c:v>6.9464201043148585E-2</c:v>
                </c:pt>
                <c:pt idx="2">
                  <c:v>2.6710816777041995E-2</c:v>
                </c:pt>
                <c:pt idx="3">
                  <c:v>1.583565161566465E-2</c:v>
                </c:pt>
                <c:pt idx="4">
                  <c:v>4.6095558829720135E-2</c:v>
                </c:pt>
                <c:pt idx="5">
                  <c:v>5.0270378529942074E-2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9-4F8A-8B68-9065FBA4A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51931264"/>
        <c:axId val="1351932704"/>
      </c:barChart>
      <c:catAx>
        <c:axId val="13519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2704"/>
        <c:crosses val="autoZero"/>
        <c:auto val="1"/>
        <c:lblAlgn val="ctr"/>
        <c:lblOffset val="100"/>
        <c:noMultiLvlLbl val="0"/>
      </c:catAx>
      <c:valAx>
        <c:axId val="13519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9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'Question-4'!$O$77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'Question-4'!$O$78:$O$83</c:f>
              <c:numCache>
                <c:formatCode>0.00%</c:formatCode>
                <c:ptCount val="6"/>
                <c:pt idx="0">
                  <c:v>3.1695073546579473E-2</c:v>
                </c:pt>
                <c:pt idx="1">
                  <c:v>-9.7237316250087095E-4</c:v>
                </c:pt>
                <c:pt idx="2">
                  <c:v>0.12176804448776005</c:v>
                </c:pt>
                <c:pt idx="3">
                  <c:v>9.2525958671738587E-2</c:v>
                </c:pt>
                <c:pt idx="4">
                  <c:v>5.212207916070586E-2</c:v>
                </c:pt>
                <c:pt idx="5">
                  <c:v>4.9892532126034624E-2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5-4DFD-A808-731D6F4E8B47}"/>
            </c:ext>
          </c:extLst>
        </c:ser>
        <c:ser>
          <c:idx val="1"/>
          <c:order val="1"/>
          <c:tx>
            <c:strRef>
              <c:f>'Question-4'!$P$77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'Question-4'!$P$78:$P$83</c:f>
              <c:numCache>
                <c:formatCode>0.00%</c:formatCode>
                <c:ptCount val="6"/>
                <c:pt idx="0">
                  <c:v>3.8193018480492745E-2</c:v>
                </c:pt>
                <c:pt idx="1">
                  <c:v>5.3438113948919543E-2</c:v>
                </c:pt>
                <c:pt idx="2">
                  <c:v>5.1576994434137206E-2</c:v>
                </c:pt>
                <c:pt idx="3">
                  <c:v>8.7093389296957105E-2</c:v>
                </c:pt>
                <c:pt idx="4">
                  <c:v>5.0352790250160512E-2</c:v>
                </c:pt>
                <c:pt idx="5">
                  <c:v>7.3882639100030442E-2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5-4DFD-A808-731D6F4E8B47}"/>
            </c:ext>
          </c:extLst>
        </c:ser>
        <c:ser>
          <c:idx val="2"/>
          <c:order val="2"/>
          <c:tx>
            <c:strRef>
              <c:f>'Question-4'!$Q$77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'Question-4'!$N$78:$N$83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'Question-4'!$Q$78:$Q$83</c:f>
              <c:numCache>
                <c:formatCode>0.00%</c:formatCode>
                <c:ptCount val="6"/>
                <c:pt idx="0">
                  <c:v>4.6499612503229135E-2</c:v>
                </c:pt>
                <c:pt idx="1">
                  <c:v>5.4545454545454515E-2</c:v>
                </c:pt>
                <c:pt idx="2">
                  <c:v>3.2280538783093574E-2</c:v>
                </c:pt>
                <c:pt idx="3">
                  <c:v>3.2952252858103409E-2</c:v>
                </c:pt>
                <c:pt idx="4">
                  <c:v>4.4613710554951162E-2</c:v>
                </c:pt>
                <c:pt idx="5">
                  <c:v>5.7018453244868338E-2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75-4DFD-A808-731D6F4E8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8455712"/>
        <c:axId val="1508450912"/>
      </c:barChart>
      <c:catAx>
        <c:axId val="15084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0912"/>
        <c:crosses val="autoZero"/>
        <c:auto val="1"/>
        <c:lblAlgn val="ctr"/>
        <c:lblOffset val="100"/>
        <c:noMultiLvlLbl val="0"/>
      </c:catAx>
      <c:valAx>
        <c:axId val="15084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4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Rural + Urban Sector Year-wise Analysis before &amp;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'Question-4'!$O$94</c:f>
              <c:strCache>
                <c:ptCount val="1"/>
                <c:pt idx="0">
                  <c:v>Inflation of Food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'Question-4'!$O$95:$O$100</c:f>
              <c:numCache>
                <c:formatCode>0.00%</c:formatCode>
                <c:ptCount val="6"/>
                <c:pt idx="0">
                  <c:v>3.9194117987610889E-2</c:v>
                </c:pt>
                <c:pt idx="1">
                  <c:v>-9.607281307938852E-3</c:v>
                </c:pt>
                <c:pt idx="2">
                  <c:v>0.10990076422949714</c:v>
                </c:pt>
                <c:pt idx="3">
                  <c:v>8.6940836940836971E-2</c:v>
                </c:pt>
                <c:pt idx="4">
                  <c:v>5.0276908259089856E-2</c:v>
                </c:pt>
                <c:pt idx="5">
                  <c:v>5.5078088901210742E-2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3-49CC-B87B-428118C1ABFC}"/>
            </c:ext>
          </c:extLst>
        </c:ser>
        <c:ser>
          <c:idx val="1"/>
          <c:order val="1"/>
          <c:tx>
            <c:strRef>
              <c:f>'Question-4'!$P$94</c:f>
              <c:strCache>
                <c:ptCount val="1"/>
                <c:pt idx="0">
                  <c:v>Inflation of Health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'Question-4'!$P$95:$P$100</c:f>
              <c:numCache>
                <c:formatCode>0.00%</c:formatCode>
                <c:ptCount val="6"/>
                <c:pt idx="0">
                  <c:v>4.3408360128617408E-2</c:v>
                </c:pt>
                <c:pt idx="1">
                  <c:v>6.3315425940138143E-2</c:v>
                </c:pt>
                <c:pt idx="2">
                  <c:v>4.641957538682992E-2</c:v>
                </c:pt>
                <c:pt idx="3">
                  <c:v>7.4616695059625135E-2</c:v>
                </c:pt>
                <c:pt idx="4">
                  <c:v>5.4096804808604758E-2</c:v>
                </c:pt>
                <c:pt idx="5">
                  <c:v>6.7284688995215322E-2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43-49CC-B87B-428118C1ABFC}"/>
            </c:ext>
          </c:extLst>
        </c:ser>
        <c:ser>
          <c:idx val="2"/>
          <c:order val="2"/>
          <c:tx>
            <c:strRef>
              <c:f>'Question-4'!$Q$94</c:f>
              <c:strCache>
                <c:ptCount val="1"/>
                <c:pt idx="0">
                  <c:v>Inflation of Essentials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'Question-4'!$N$95:$N$100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'Question-4'!$Q$95:$Q$100</c:f>
              <c:numCache>
                <c:formatCode>0.00%</c:formatCode>
                <c:ptCount val="6"/>
                <c:pt idx="0">
                  <c:v>5.0981391791995623E-2</c:v>
                </c:pt>
                <c:pt idx="1">
                  <c:v>6.1549601737871114E-2</c:v>
                </c:pt>
                <c:pt idx="2">
                  <c:v>2.8992072480181357E-2</c:v>
                </c:pt>
                <c:pt idx="3">
                  <c:v>2.4769837790442943E-2</c:v>
                </c:pt>
                <c:pt idx="4">
                  <c:v>4.5191689869351091E-2</c:v>
                </c:pt>
                <c:pt idx="5">
                  <c:v>5.4252498470324345E-2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43-49CC-B87B-428118C1A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5041168"/>
        <c:axId val="1295042608"/>
      </c:barChart>
      <c:catAx>
        <c:axId val="12950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2608"/>
        <c:crosses val="autoZero"/>
        <c:auto val="1"/>
        <c:lblAlgn val="ctr"/>
        <c:lblOffset val="100"/>
        <c:noMultiLvlLbl val="0"/>
      </c:catAx>
      <c:valAx>
        <c:axId val="129504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Rural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Sector MoM_Inflation% In Food Category</a:t>
          </a:r>
        </a:p>
      </cx:txPr>
    </cx:title>
    <cx:plotArea>
      <cx:plotAreaRegion>
        <cx:series layoutId="waterfall" uniqueId="{D2516AE2-61CA-4292-84A6-2FAE1228197F}">
          <cx:tx>
            <cx:txData>
              <cx:f>_xlchart.v1.7</cx:f>
              <cx:v>MoM_Inflation%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Urban Sector MoM_Inflation% In Food Category</a:t>
          </a:r>
        </a:p>
      </cx:txPr>
    </cx:title>
    <cx:plotArea>
      <cx:plotAreaRegion>
        <cx:series layoutId="waterfall" uniqueId="{602E3381-F603-47EA-A0CB-6F525CD468F9}">
          <cx:tx>
            <cx:txData>
              <cx:f>_xlchart.v1.1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Rural + 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+ Urban Sector MoM_Inflation% In Food Category</a:t>
          </a:r>
        </a:p>
      </cx:txPr>
    </cx:title>
    <cx:plotArea>
      <cx:plotAreaRegion>
        <cx:series layoutId="waterfall" uniqueId="{B966788D-A30F-4315-8801-06F0D676B207}">
          <cx:tx>
            <cx:txData>
              <cx:f>_xlchart.v1.4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_xlchart.v1.11</cx:f>
      </cx:strDim>
      <cx:numDim type="val">
        <cx:f dir="row">_xlchart.v1.12</cx:f>
      </cx:numDim>
    </cx:data>
  </cx:chartData>
  <cx:chart>
    <cx:title pos="t" align="ctr" overlay="0">
      <cx:tx>
        <cx:txData>
          <cx:v>Rural + 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+ Urban Sector Mom Inflation% for Sub-Categories of FOOD</a:t>
          </a:r>
        </a:p>
      </cx:txPr>
    </cx:title>
    <cx:plotArea>
      <cx:plotAreaRegion>
        <cx:series layoutId="waterfall" uniqueId="{AC792001-A5E4-4BAD-941B-AC53A0E31AAE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_xlchart.v1.10</cx:f>
      </cx:numDim>
    </cx:data>
  </cx:chartData>
  <cx:chart>
    <cx:title pos="t" align="ctr" overlay="0">
      <cx:tx>
        <cx:txData>
          <cx:v>Rural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Sector Mom Inflation% for Sub-Categories of FOOD</a:t>
          </a:r>
        </a:p>
      </cx:txPr>
    </cx:title>
    <cx:plotArea>
      <cx:plotAreaRegion>
        <cx:series layoutId="waterfall" uniqueId="{C2B78B01-B0E7-4339-BE67-47B5D20E9BD6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_xlchart.v1.13</cx:f>
      </cx:strDim>
      <cx:numDim type="val">
        <cx:f dir="row">_xlchart.v1.14</cx:f>
      </cx:numDim>
    </cx:data>
  </cx:chartData>
  <cx:chart>
    <cx:title pos="t" align="ctr" overlay="0">
      <cx:tx>
        <cx:txData>
          <cx:v>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Urban Sector Mom Inflation% for Sub-Categories of FOOD</a:t>
          </a:r>
        </a:p>
      </cx:txPr>
    </cx:title>
    <cx:plotArea>
      <cx:plotAreaRegion>
        <cx:series layoutId="waterfall" uniqueId="{AF4AA96D-1AB0-4575-9122-53DA9BC821D1}"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val">
        <cx:f>_xlchart.v1.27</cx:f>
      </cx:numDim>
    </cx:data>
  </cx:chartData>
  <cx:chart>
    <cx:title pos="t" align="ctr" overlay="0">
      <cx:tx>
        <cx:txData>
          <cx:v>Rural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Sector MoM_Inflation% In Food Category</a:t>
          </a:r>
        </a:p>
      </cx:txPr>
    </cx:title>
    <cx:plotArea>
      <cx:plotAreaRegion>
        <cx:series layoutId="waterfall" uniqueId="{D2516AE2-61CA-4292-84A6-2FAE1228197F}">
          <cx:tx>
            <cx:txData>
              <cx:f>_xlchart.v1.26</cx:f>
              <cx:v>MoM_Inflation%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val">
        <cx:f>_xlchart.v1.20</cx:f>
      </cx:numDim>
    </cx:data>
  </cx:chartData>
  <cx:chart>
    <cx:title pos="t" align="ctr" overlay="0">
      <cx:tx>
        <cx:txData>
          <cx:v>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Urban Sector MoM_Inflation% In Food Category</a:t>
          </a:r>
        </a:p>
      </cx:txPr>
    </cx:title>
    <cx:plotArea>
      <cx:plotAreaRegion>
        <cx:series layoutId="waterfall" uniqueId="{602E3381-F603-47EA-A0CB-6F525CD468F9}">
          <cx:tx>
            <cx:txData>
              <cx:f>_xlchart.v1.19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>
      <cx:tx>
        <cx:txData>
          <cx:v>Rural + Urban Sector MoM_Inflation% In Food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n-US" sz="1400" b="1" i="0" u="none" strike="noStrike" baseline="0">
              <a:solidFill>
                <a:schemeClr val="bg1"/>
              </a:solidFill>
              <a:latin typeface="Calibri" panose="020F0502020204030204"/>
            </a:rPr>
            <a:t>Rural + Urban Sector MoM_Inflation% In Food Category</a:t>
          </a:r>
        </a:p>
      </cx:txPr>
    </cx:title>
    <cx:plotArea>
      <cx:plotAreaRegion>
        <cx:series layoutId="waterfall" uniqueId="{B966788D-A30F-4315-8801-06F0D676B207}">
          <cx:tx>
            <cx:txData>
              <cx:f>_xlchart.v1.16</cx:f>
              <cx:v>MoM_Inflation%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_xlchart.v1.21</cx:f>
      </cx:strDim>
      <cx:numDim type="val">
        <cx:f dir="row">_xlchart.v1.22</cx:f>
      </cx:numDim>
    </cx:data>
  </cx:chartData>
  <cx:chart>
    <cx:title pos="t" align="ctr" overlay="0">
      <cx:tx>
        <cx:txData>
          <cx:v>Rural + 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+ Urban Sector Mom Inflation% for Sub-Categories of FOOD</a:t>
          </a:r>
        </a:p>
      </cx:txPr>
    </cx:title>
    <cx:plotArea>
      <cx:plotAreaRegion>
        <cx:series layoutId="waterfall" uniqueId="{AC792001-A5E4-4BAD-941B-AC53A0E31AAE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_xlchart.v1.23</cx:f>
      </cx:strDim>
      <cx:numDim type="val">
        <cx:f dir="row">_xlchart.v1.24</cx:f>
      </cx:numDim>
    </cx:data>
  </cx:chartData>
  <cx:chart>
    <cx:title pos="t" align="ctr" overlay="0">
      <cx:tx>
        <cx:txData>
          <cx:v>Rural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Rural Sector Mom Inflation% for Sub-Categories of FOOD</a:t>
          </a:r>
        </a:p>
      </cx:txPr>
    </cx:title>
    <cx:plotArea>
      <cx:plotAreaRegion>
        <cx:series layoutId="waterfall" uniqueId="{C2B78B01-B0E7-4339-BE67-47B5D20E9BD6}"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_xlchart.v1.28</cx:f>
      </cx:strDim>
      <cx:numDim type="val">
        <cx:f dir="row">_xlchart.v1.29</cx:f>
      </cx:numDim>
    </cx:data>
  </cx:chartData>
  <cx:chart>
    <cx:title pos="t" align="ctr" overlay="0">
      <cx:tx>
        <cx:txData>
          <cx:v>Urban Sector Mom Inflation% for Sub-Categories of FOOD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Urban Sector Mom Inflation% for Sub-Categories of FOOD</a:t>
          </a:r>
        </a:p>
      </cx:txPr>
    </cx:title>
    <cx:plotArea>
      <cx:plotAreaRegion>
        <cx:series layoutId="waterfall" uniqueId="{AF4AA96D-1AB0-4575-9122-53DA9BC821D1}"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microsoft.com/office/2014/relationships/chartEx" Target="../charts/chartEx10.xml"/><Relationship Id="rId13" Type="http://schemas.openxmlformats.org/officeDocument/2006/relationships/chart" Target="../charts/chart17.xml"/><Relationship Id="rId3" Type="http://schemas.openxmlformats.org/officeDocument/2006/relationships/chart" Target="../charts/chart13.xml"/><Relationship Id="rId7" Type="http://schemas.microsoft.com/office/2014/relationships/chartEx" Target="../charts/chartEx9.xml"/><Relationship Id="rId12" Type="http://schemas.openxmlformats.org/officeDocument/2006/relationships/chart" Target="../charts/chart16.xml"/><Relationship Id="rId2" Type="http://schemas.openxmlformats.org/officeDocument/2006/relationships/chart" Target="../charts/chart12.xml"/><Relationship Id="rId16" Type="http://schemas.openxmlformats.org/officeDocument/2006/relationships/chart" Target="../charts/chart20.xml"/><Relationship Id="rId1" Type="http://schemas.openxmlformats.org/officeDocument/2006/relationships/chart" Target="../charts/chart11.xml"/><Relationship Id="rId6" Type="http://schemas.microsoft.com/office/2014/relationships/chartEx" Target="../charts/chartEx8.xml"/><Relationship Id="rId11" Type="http://schemas.openxmlformats.org/officeDocument/2006/relationships/chart" Target="../charts/chart15.xml"/><Relationship Id="rId5" Type="http://schemas.microsoft.com/office/2014/relationships/chartEx" Target="../charts/chartEx7.xml"/><Relationship Id="rId15" Type="http://schemas.openxmlformats.org/officeDocument/2006/relationships/chart" Target="../charts/chart19.xml"/><Relationship Id="rId10" Type="http://schemas.microsoft.com/office/2014/relationships/chartEx" Target="../charts/chartEx12.xml"/><Relationship Id="rId4" Type="http://schemas.openxmlformats.org/officeDocument/2006/relationships/chart" Target="../charts/chart14.xml"/><Relationship Id="rId9" Type="http://schemas.microsoft.com/office/2014/relationships/chartEx" Target="../charts/chartEx11.xml"/><Relationship Id="rId1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11</xdr:row>
      <xdr:rowOff>179070</xdr:rowOff>
    </xdr:from>
    <xdr:to>
      <xdr:col>6</xdr:col>
      <xdr:colOff>449580</xdr:colOff>
      <xdr:row>26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7DAF93-9D78-02FE-866F-06FC2F385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632460</xdr:colOff>
      <xdr:row>12</xdr:row>
      <xdr:rowOff>7620</xdr:rowOff>
    </xdr:from>
    <xdr:to>
      <xdr:col>12</xdr:col>
      <xdr:colOff>320040</xdr:colOff>
      <xdr:row>27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12B833-3AFD-458B-92B1-39F460827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18</xdr:col>
      <xdr:colOff>556260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1576B0-A58A-47F6-9A1C-F7CE2B046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510540</xdr:colOff>
      <xdr:row>11</xdr:row>
      <xdr:rowOff>102870</xdr:rowOff>
    </xdr:from>
    <xdr:to>
      <xdr:col>19</xdr:col>
      <xdr:colOff>236220</xdr:colOff>
      <xdr:row>26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E275E-F02E-15EF-CE91-0041353E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556259</xdr:colOff>
      <xdr:row>1</xdr:row>
      <xdr:rowOff>3810</xdr:rowOff>
    </xdr:from>
    <xdr:to>
      <xdr:col>21</xdr:col>
      <xdr:colOff>576943</xdr:colOff>
      <xdr:row>16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DFDE1F5-139A-A58D-EEF5-A2BA1EC738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9509" y="187960"/>
              <a:ext cx="7335884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493058</xdr:colOff>
      <xdr:row>21</xdr:row>
      <xdr:rowOff>0</xdr:rowOff>
    </xdr:from>
    <xdr:to>
      <xdr:col>21</xdr:col>
      <xdr:colOff>513742</xdr:colOff>
      <xdr:row>36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AD0F372-C9BF-454E-8ECC-79EC0BF64B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6308" y="3867150"/>
              <a:ext cx="7335884" cy="276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484094</xdr:colOff>
      <xdr:row>40</xdr:row>
      <xdr:rowOff>17929</xdr:rowOff>
    </xdr:from>
    <xdr:to>
      <xdr:col>21</xdr:col>
      <xdr:colOff>504778</xdr:colOff>
      <xdr:row>55</xdr:row>
      <xdr:rowOff>17930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BB59B9B-92F2-4ABB-91D4-40AED3C0AE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7344" y="7383929"/>
              <a:ext cx="7335884" cy="2762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236220</xdr:colOff>
      <xdr:row>7</xdr:row>
      <xdr:rowOff>15240</xdr:rowOff>
    </xdr:from>
    <xdr:to>
      <xdr:col>30</xdr:col>
      <xdr:colOff>396240</xdr:colOff>
      <xdr:row>25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AA98B1-C324-05D9-5C88-80E9DDA65A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9420" y="1304290"/>
              <a:ext cx="80848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315686</xdr:colOff>
      <xdr:row>30</xdr:row>
      <xdr:rowOff>174172</xdr:rowOff>
    </xdr:from>
    <xdr:to>
      <xdr:col>16</xdr:col>
      <xdr:colOff>337457</xdr:colOff>
      <xdr:row>31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F428A29-A484-94FF-D2B5-037EF1CAF18A}"/>
            </a:ext>
          </a:extLst>
        </xdr:cNvPr>
        <xdr:cNvCxnSpPr/>
      </xdr:nvCxnSpPr>
      <xdr:spPr>
        <a:xfrm>
          <a:off x="925286" y="5725886"/>
          <a:ext cx="9165771" cy="10885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221673</xdr:colOff>
      <xdr:row>39</xdr:row>
      <xdr:rowOff>69272</xdr:rowOff>
    </xdr:from>
    <xdr:to>
      <xdr:col>30</xdr:col>
      <xdr:colOff>381693</xdr:colOff>
      <xdr:row>57</xdr:row>
      <xdr:rowOff>172142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1F958EF-C7F3-4801-B2D4-D045DF167E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84873" y="7251122"/>
              <a:ext cx="8084820" cy="341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304800</xdr:colOff>
      <xdr:row>61</xdr:row>
      <xdr:rowOff>170329</xdr:rowOff>
    </xdr:from>
    <xdr:to>
      <xdr:col>16</xdr:col>
      <xdr:colOff>326571</xdr:colOff>
      <xdr:row>61</xdr:row>
      <xdr:rowOff>175451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40A9BC6-A3A8-4084-BD6B-A45FFC0E3CB3}"/>
            </a:ext>
          </a:extLst>
        </xdr:cNvPr>
        <xdr:cNvCxnSpPr/>
      </xdr:nvCxnSpPr>
      <xdr:spPr>
        <a:xfrm>
          <a:off x="914400" y="11107270"/>
          <a:ext cx="9165771" cy="5122"/>
        </a:xfrm>
        <a:prstGeom prst="straightConnector1">
          <a:avLst/>
        </a:prstGeom>
        <a:ln w="381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259976</xdr:colOff>
      <xdr:row>69</xdr:row>
      <xdr:rowOff>134470</xdr:rowOff>
    </xdr:from>
    <xdr:to>
      <xdr:col>30</xdr:col>
      <xdr:colOff>419996</xdr:colOff>
      <xdr:row>88</xdr:row>
      <xdr:rowOff>58046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839A41AD-3A64-4504-84DB-7515198B05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3176" y="12840820"/>
              <a:ext cx="8084820" cy="34224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136072</xdr:colOff>
      <xdr:row>3</xdr:row>
      <xdr:rowOff>7076</xdr:rowOff>
    </xdr:from>
    <xdr:to>
      <xdr:col>12</xdr:col>
      <xdr:colOff>1110344</xdr:colOff>
      <xdr:row>18</xdr:row>
      <xdr:rowOff>7076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3D4F0-0489-0A49-A477-9AA0FB036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116541</xdr:colOff>
      <xdr:row>21</xdr:row>
      <xdr:rowOff>17930</xdr:rowOff>
    </xdr:from>
    <xdr:to>
      <xdr:col>12</xdr:col>
      <xdr:colOff>1090813</xdr:colOff>
      <xdr:row>36</xdr:row>
      <xdr:rowOff>17930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E8C933-29AE-4AC3-8D0D-3AD29FAC9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97971</xdr:colOff>
      <xdr:row>39</xdr:row>
      <xdr:rowOff>10885</xdr:rowOff>
    </xdr:from>
    <xdr:to>
      <xdr:col>12</xdr:col>
      <xdr:colOff>1072243</xdr:colOff>
      <xdr:row>54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487A7-BF7D-4EA3-8864-84813DD9D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130628</xdr:colOff>
      <xdr:row>58</xdr:row>
      <xdr:rowOff>10886</xdr:rowOff>
    </xdr:from>
    <xdr:to>
      <xdr:col>12</xdr:col>
      <xdr:colOff>1110343</xdr:colOff>
      <xdr:row>72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AE395A-16B6-CDE8-B4C4-0A29E9EFA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130628</xdr:colOff>
      <xdr:row>76</xdr:row>
      <xdr:rowOff>0</xdr:rowOff>
    </xdr:from>
    <xdr:to>
      <xdr:col>12</xdr:col>
      <xdr:colOff>1110343</xdr:colOff>
      <xdr:row>90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8E294B-C7DF-55A1-7F93-DBB24BA9A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97971</xdr:colOff>
      <xdr:row>93</xdr:row>
      <xdr:rowOff>21772</xdr:rowOff>
    </xdr:from>
    <xdr:to>
      <xdr:col>12</xdr:col>
      <xdr:colOff>1077686</xdr:colOff>
      <xdr:row>107</xdr:row>
      <xdr:rowOff>174172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186BD5A-5C92-3881-7B33-03F1AB46F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941070</xdr:colOff>
      <xdr:row>6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F93B9-EA1D-4DB6-B5C0-469E73F6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"/>
          <a:ext cx="941070" cy="1089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212DD-87B8-4ADF-8E78-E54AACC7D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106680</xdr:colOff>
      <xdr:row>1</xdr:row>
      <xdr:rowOff>11430</xdr:rowOff>
    </xdr:from>
    <xdr:to>
      <xdr:col>16</xdr:col>
      <xdr:colOff>510540</xdr:colOff>
      <xdr:row>16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18B982-7E59-4499-9053-D5E37B406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300446</xdr:colOff>
      <xdr:row>1</xdr:row>
      <xdr:rowOff>3810</xdr:rowOff>
    </xdr:from>
    <xdr:to>
      <xdr:col>25</xdr:col>
      <xdr:colOff>94706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98FD5-A22D-44F9-A3C6-07AB2BC92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163286</xdr:colOff>
      <xdr:row>32</xdr:row>
      <xdr:rowOff>163285</xdr:rowOff>
    </xdr:from>
    <xdr:to>
      <xdr:col>25</xdr:col>
      <xdr:colOff>174172</xdr:colOff>
      <xdr:row>47</xdr:row>
      <xdr:rowOff>130628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F855C8-B5E4-4D1F-8551-B6B26492E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13</xdr:col>
      <xdr:colOff>20684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2862F15-D168-4009-A6DB-C3581ABAF3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3130550"/>
              <a:ext cx="7335884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152400</xdr:colOff>
      <xdr:row>17</xdr:row>
      <xdr:rowOff>10886</xdr:rowOff>
    </xdr:from>
    <xdr:to>
      <xdr:col>25</xdr:col>
      <xdr:colOff>173084</xdr:colOff>
      <xdr:row>31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74AC5A80-8ECA-4346-8E8D-218C4B5E4C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3141436"/>
              <a:ext cx="7335884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33</xdr:row>
      <xdr:rowOff>0</xdr:rowOff>
    </xdr:from>
    <xdr:to>
      <xdr:col>13</xdr:col>
      <xdr:colOff>20684</xdr:colOff>
      <xdr:row>47</xdr:row>
      <xdr:rowOff>152401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EA847E5-C7B5-4B98-808E-8F4F3E859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6076950"/>
              <a:ext cx="7335884" cy="2730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49</xdr:row>
      <xdr:rowOff>0</xdr:rowOff>
    </xdr:from>
    <xdr:to>
      <xdr:col>13</xdr:col>
      <xdr:colOff>33130</xdr:colOff>
      <xdr:row>67</xdr:row>
      <xdr:rowOff>117539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AB8629A3-F9A8-4ED1-838D-F36435038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9023350"/>
              <a:ext cx="7348330" cy="34322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165652</xdr:colOff>
      <xdr:row>49</xdr:row>
      <xdr:rowOff>0</xdr:rowOff>
    </xdr:from>
    <xdr:to>
      <xdr:col>25</xdr:col>
      <xdr:colOff>179294</xdr:colOff>
      <xdr:row>67</xdr:row>
      <xdr:rowOff>5285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9D988345-12CA-4D9F-8060-34E9F424DA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0452" y="9023350"/>
              <a:ext cx="7328842" cy="3319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8964</xdr:colOff>
      <xdr:row>68</xdr:row>
      <xdr:rowOff>62753</xdr:rowOff>
    </xdr:from>
    <xdr:to>
      <xdr:col>13</xdr:col>
      <xdr:colOff>53788</xdr:colOff>
      <xdr:row>87</xdr:row>
      <xdr:rowOff>1814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637711A2-ABE0-44B9-90D5-3E06DD1E87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564" y="12584953"/>
              <a:ext cx="7360024" cy="34379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604159</xdr:colOff>
      <xdr:row>88</xdr:row>
      <xdr:rowOff>0</xdr:rowOff>
    </xdr:from>
    <xdr:to>
      <xdr:col>8</xdr:col>
      <xdr:colOff>293916</xdr:colOff>
      <xdr:row>102</xdr:row>
      <xdr:rowOff>108857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3E6A2D-7AAA-4032-8835-AC2286608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198185</xdr:colOff>
      <xdr:row>88</xdr:row>
      <xdr:rowOff>21739</xdr:rowOff>
    </xdr:from>
    <xdr:to>
      <xdr:col>16</xdr:col>
      <xdr:colOff>497542</xdr:colOff>
      <xdr:row>102</xdr:row>
      <xdr:rowOff>125154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6287B91-B494-4111-B856-16EFDC2C9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438151</xdr:colOff>
      <xdr:row>88</xdr:row>
      <xdr:rowOff>6531</xdr:rowOff>
    </xdr:from>
    <xdr:to>
      <xdr:col>25</xdr:col>
      <xdr:colOff>127908</xdr:colOff>
      <xdr:row>102</xdr:row>
      <xdr:rowOff>115389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D519AC-F455-4886-B9E3-42E121B35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27215</xdr:colOff>
      <xdr:row>103</xdr:row>
      <xdr:rowOff>158931</xdr:rowOff>
    </xdr:from>
    <xdr:to>
      <xdr:col>8</xdr:col>
      <xdr:colOff>332015</xdr:colOff>
      <xdr:row>118</xdr:row>
      <xdr:rowOff>44631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F8464A6-EB51-45FE-9301-79246B39E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218676</xdr:colOff>
      <xdr:row>104</xdr:row>
      <xdr:rowOff>7011</xdr:rowOff>
    </xdr:from>
    <xdr:to>
      <xdr:col>16</xdr:col>
      <xdr:colOff>523476</xdr:colOff>
      <xdr:row>118</xdr:row>
      <xdr:rowOff>77449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F20156D-65DC-4E7E-B11D-6CCB7EF74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437671</xdr:colOff>
      <xdr:row>103</xdr:row>
      <xdr:rowOff>175739</xdr:rowOff>
    </xdr:from>
    <xdr:to>
      <xdr:col>25</xdr:col>
      <xdr:colOff>132871</xdr:colOff>
      <xdr:row>118</xdr:row>
      <xdr:rowOff>61439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DBFD505-36DB-493C-9BFA-53F85061B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2E9B3-0394-4E67-8552-AFAA09263F11}" name="Table1" displayName="Table1" ref="C4:E11" totalsRowShown="0" headerRowDxfId="101">
  <autoFilter ref="C4:E11" xr:uid="{5692E9B3-0394-4E67-8552-AFAA09263F11}"/>
  <tableColumns count="3">
    <tableColumn id="1" xr3:uid="{B490E187-D319-47A6-97CA-37413C477D8D}" name="Categories" dataDxfId="100"/>
    <tableColumn id="2" xr3:uid="{372C232E-689C-4DDF-882D-3A3E65510D41}" name="CPI at Rural"/>
    <tableColumn id="3" xr3:uid="{0A513652-122A-4E0F-829F-4B42D91D60A5}" name="% Contribution" dataDxfId="99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244C3B-E797-42E8-8B6D-E7422C19E1D3}" name="Table13" displayName="Table13" ref="I4:K11" totalsRowShown="0" headerRowDxfId="98">
  <autoFilter ref="I4:K11" xr:uid="{6A244C3B-E797-42E8-8B6D-E7422C19E1D3}"/>
  <tableColumns count="3">
    <tableColumn id="1" xr3:uid="{4B3E06EF-487A-4A8A-8E26-A0976546EFD6}" name="Categories" dataDxfId="97"/>
    <tableColumn id="2" xr3:uid="{A80C80DC-D353-4B53-A4DE-6BC218BEC7B1}" name="CPI at Urban"/>
    <tableColumn id="3" xr3:uid="{D0017363-8DDE-4E9A-87EE-78A0BF63820E}" name="% Contribution" dataDxfId="96" dataCellStyle="Percent">
      <calculatedColumnFormula>Table13[[#This Row],[CPI at Urban]]/$J$11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B423E4-B709-4FFD-834B-BBBBD4CF1438}" name="Table14" displayName="Table14" ref="O4:Q11" totalsRowShown="0" headerRowDxfId="95">
  <autoFilter ref="O4:Q11" xr:uid="{9DB423E4-B709-4FFD-834B-BBBBD4CF1438}"/>
  <tableColumns count="3">
    <tableColumn id="1" xr3:uid="{4897AA73-BD52-495C-A581-EA03FB468B54}" name="Categories" dataDxfId="94"/>
    <tableColumn id="2" xr3:uid="{04D7FBC9-2C11-401D-8BCF-EF2135EA25ED}" name="CPI at Rural"/>
    <tableColumn id="3" xr3:uid="{E9D84C9A-8B5A-4C86-8C85-6BA4E9E750C6}" name="% Contribution" dataDxfId="93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AA4F3-4E4F-4277-92CB-CA6B6E2226EF}" name="Table4" displayName="Table4" ref="N5:O11" totalsRowShown="0">
  <autoFilter ref="N5:O11" xr:uid="{A79AA4F3-4E4F-4277-92CB-CA6B6E2226EF}"/>
  <tableColumns count="2">
    <tableColumn id="1" xr3:uid="{5E3E6665-AF18-4DCB-9320-69FF7111D533}" name="Years"/>
    <tableColumn id="2" xr3:uid="{C6E8172D-5E1B-42C8-A76E-1A7E089FBF5C}" name="YoY_Inflation%" dataDxfId="92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357869-4FF4-44F2-8ABD-E358E5C6E2A6}" name="Table5" displayName="Table5" ref="B3:K16" totalsRowShown="0" headerRowDxfId="91" headerRowBorderDxfId="90" tableBorderDxfId="89" totalsRowBorderDxfId="88">
  <autoFilter ref="B3:K16" xr:uid="{B8357869-4FF4-44F2-8ABD-E358E5C6E2A6}"/>
  <tableColumns count="10">
    <tableColumn id="1" xr3:uid="{B215596D-20A7-4E6D-84D2-201F0F98D445}" name="Sector" dataDxfId="87"/>
    <tableColumn id="2" xr3:uid="{06001BB5-5A8A-4B7C-BF5E-D6D602BE7F7D}" name="Year" dataDxfId="86"/>
    <tableColumn id="3" xr3:uid="{3AD687F8-50B3-497C-B1D2-7F680432F0CB}" name="Month" dataDxfId="85"/>
    <tableColumn id="4" xr3:uid="{A002069C-6636-45C0-A9B7-6379EA64A63D}" name="FOOD" dataDxfId="84"/>
    <tableColumn id="5" xr3:uid="{342D894C-859D-407B-8636-AA2B82E4FA33}" name="CLOTHING" dataDxfId="83"/>
    <tableColumn id="6" xr3:uid="{F9E9C7C9-B6AB-4051-85BC-6E809E183927}" name="HEALTH" dataDxfId="82"/>
    <tableColumn id="7" xr3:uid="{6D28B131-07A1-4035-A1CE-23B566F91526}" name="ESSENTIALS" dataDxfId="81"/>
    <tableColumn id="8" xr3:uid="{03B00F40-60F3-4BDF-92CA-3AFFC1D0F06B}" name="LUXURIES" dataDxfId="80"/>
    <tableColumn id="9" xr3:uid="{432D409A-3A52-41A0-928E-EDEBC1F1356E}" name="ENERGY" dataDxfId="79"/>
    <tableColumn id="10" xr3:uid="{B1752CDD-C858-41BE-91BB-5B8AB9973024}" name="GENERAL" dataDxfId="78">
      <calculatedColumnFormula>AVERAGE(E4:J4)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F873D1-42B0-42CF-A41A-80EA05282306}" name="Table6" displayName="Table6" ref="B2:E15" totalsRowShown="0">
  <autoFilter ref="B2:E15" xr:uid="{44F873D1-42B0-42CF-A41A-80EA05282306}"/>
  <tableColumns count="4">
    <tableColumn id="1" xr3:uid="{74942593-7614-4F41-9CF2-6AE3CE4B5C55}" name="Sector"/>
    <tableColumn id="2" xr3:uid="{753AA54D-053E-4841-AE74-3D511E8251D2}" name="Years"/>
    <tableColumn id="3" xr3:uid="{D54E1A29-FC49-461E-A798-E2DF7E75580E}" name="Months"/>
    <tableColumn id="4" xr3:uid="{1363699A-960C-41B4-9BE7-116A925610E8}" name="Food CP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56DCD8C-E902-4BFA-B27C-2B56EFBF071B}" name="Table7" displayName="Table7" ref="H3:I15" totalsRowShown="0">
  <autoFilter ref="H3:I15" xr:uid="{756DCD8C-E902-4BFA-B27C-2B56EFBF071B}"/>
  <tableColumns count="2">
    <tableColumn id="1" xr3:uid="{26572B15-E2D9-46F9-AB33-E7A12348019C}" name="Year-Month">
      <calculatedColumnFormula>CONCATENATE(Table6[[#This Row],[Months]],Table6[[#This Row],[Years]])</calculatedColumnFormula>
    </tableColumn>
    <tableColumn id="2" xr3:uid="{33F6E2A1-7931-4AFF-AFBB-278922C8ECB4}" name="MoM_Inflation%" dataDxfId="77" dataCellStyle="Percent">
      <calculatedColumnFormula>(E4-E3)/E3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745377-10D9-4FF5-B20A-F5C80682FBC3}" name="Table69" displayName="Table69" ref="B22:E35" totalsRowShown="0">
  <autoFilter ref="B22:E35" xr:uid="{24745377-10D9-4FF5-B20A-F5C80682FBC3}"/>
  <tableColumns count="4">
    <tableColumn id="1" xr3:uid="{9CF2BFC7-7C83-4AD1-B4DB-F112CB989196}" name="Sector"/>
    <tableColumn id="2" xr3:uid="{3E2D3C6E-716F-4142-A89C-2663697182E9}" name="Years"/>
    <tableColumn id="3" xr3:uid="{E2BC0ACD-B124-4809-9965-FD4EFF3595BD}" name="Months"/>
    <tableColumn id="4" xr3:uid="{BCDA8BE3-343A-404E-991A-945CBD20882A}" name="Food CP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545643-8C99-484C-832D-3F78F110A2C1}" name="Table10" displayName="Table10" ref="H23:I35" totalsRowShown="0">
  <autoFilter ref="H23:I35" xr:uid="{EE545643-8C99-484C-832D-3F78F110A2C1}"/>
  <tableColumns count="2">
    <tableColumn id="1" xr3:uid="{6CD64E84-DF4D-43DF-ADF9-40B8DEB1607F}" name="Year-Month"/>
    <tableColumn id="2" xr3:uid="{98B81837-2E17-4743-B315-94B07F7BD507}" name="MoM_Inflation%" dataDxfId="76" dataCellStyle="Percent">
      <calculatedColumnFormula>(Table69[[#This Row],[Food CPI]]-E23)/E23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7B5C8E1-D5E9-4ECD-AC60-A9A3ED922DB2}" name="Table6912" displayName="Table6912" ref="B41:E54" totalsRowShown="0">
  <autoFilter ref="B41:E54" xr:uid="{27B5C8E1-D5E9-4ECD-AC60-A9A3ED922DB2}"/>
  <tableColumns count="4">
    <tableColumn id="1" xr3:uid="{9B292704-7D48-425D-9B76-9F66113F6A31}" name="Sector"/>
    <tableColumn id="2" xr3:uid="{39EDBF3A-F8F4-4188-9015-DA72D12A155E}" name="Years"/>
    <tableColumn id="3" xr3:uid="{FBEAA2A0-4171-4427-A19B-B2FD33ED2159}" name="Months"/>
    <tableColumn id="4" xr3:uid="{DE25EDFB-D930-412E-B8BF-8CD1238A54C5}" name="Food CP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C044A66-FDFF-453E-A652-6AD41B4171DA}" name="Table12" displayName="Table12" ref="H42:I54" totalsRowShown="0">
  <autoFilter ref="H42:I54" xr:uid="{BC044A66-FDFF-453E-A652-6AD41B4171DA}"/>
  <tableColumns count="2">
    <tableColumn id="1" xr3:uid="{3FF9C4B6-3D11-4926-BABF-D5678EF651CB}" name="Year-Month"/>
    <tableColumn id="2" xr3:uid="{DD89E3EC-C1DC-4657-9C0B-C640CBFAE07E}" name="MoM_Inflation%" dataDxfId="75" dataCellStyle="Percent">
      <calculatedColumnFormula>(Table6912[[#This Row],[Food CPI]]-E42)/E42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2A7F991-43F0-40AE-AC99-6E722FD6D5C7}" name="Table15" displayName="Table15" ref="N4:Q10" totalsRowShown="0" dataDxfId="74" dataCellStyle="Percent">
  <autoFilter ref="N4:Q10" xr:uid="{62A7F991-43F0-40AE-AC99-6E722FD6D5C7}"/>
  <tableColumns count="4">
    <tableColumn id="1" xr3:uid="{F16F0B6B-679A-46A2-AD2E-312D0A231924}" name="Years"/>
    <tableColumn id="2" xr3:uid="{C6A9ED70-A534-4408-B704-0868ACF064B4}" name="Inflation of Food" dataDxfId="73" dataCellStyle="Percent"/>
    <tableColumn id="3" xr3:uid="{A09F7EED-85F1-46BC-85BF-F8F425654A42}" name="Inflation of Health" dataDxfId="72" dataCellStyle="Percent"/>
    <tableColumn id="4" xr3:uid="{42790FA9-1AA3-4C2D-9039-131B2501552C}" name="Inflation of Essentials" dataDxfId="71" dataCellStyle="Perc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B818C52-2BC1-46F0-8C88-BCA8301D7B97}" name="Table16" displayName="Table16" ref="B4:G16" totalsRowShown="0" headerRowDxfId="70" dataDxfId="69">
  <autoFilter ref="B4:G16" xr:uid="{9B818C52-2BC1-46F0-8C88-BCA8301D7B97}"/>
  <tableColumns count="6">
    <tableColumn id="1" xr3:uid="{AA3E2878-7B7E-4F36-90B2-F1676AFE06ED}" name="Sector" dataDxfId="68"/>
    <tableColumn id="2" xr3:uid="{01B2E0CD-3692-464A-93A8-1999FE8038AF}" name="Year" dataDxfId="67"/>
    <tableColumn id="3" xr3:uid="{0F82FA0D-C505-499E-BE53-F1B6DD6DD6EA}" name="Month" dataDxfId="66"/>
    <tableColumn id="4" xr3:uid="{9885B6AF-BD3D-4A61-B076-34044263D970}" name="FOOD" dataDxfId="65"/>
    <tableColumn id="5" xr3:uid="{2D347422-230A-427D-8758-8C03CF578A0B}" name="HEALTH" dataDxfId="64"/>
    <tableColumn id="6" xr3:uid="{2DEE2740-91B2-48F4-B892-6CCBF4F10A55}" name="ESSENTIALS" dataDxfId="6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0B88D5-59C7-4F7A-B7D4-CA8AEDAA2F16}" name="Table1517" displayName="Table1517" ref="N22:Q28" totalsRowShown="0" dataDxfId="62" dataCellStyle="Percent">
  <autoFilter ref="N22:Q28" xr:uid="{650B88D5-59C7-4F7A-B7D4-CA8AEDAA2F16}"/>
  <tableColumns count="4">
    <tableColumn id="1" xr3:uid="{7E7C1406-664F-49AA-8392-75CAA53326E7}" name="Years"/>
    <tableColumn id="2" xr3:uid="{34FA507E-0926-4C12-A48D-34CB02FA6640}" name="Inflation of Food" dataDxfId="61" dataCellStyle="Percent"/>
    <tableColumn id="3" xr3:uid="{20B4791F-AE36-49BB-94BC-7A062F6BD52E}" name="Inflation of Health" dataDxfId="60" dataCellStyle="Percent"/>
    <tableColumn id="4" xr3:uid="{9AB9CDDC-3369-4EE3-AB31-219BF9B725C3}" name="Inflation of Essentials" dataDxfId="59" dataCellStyle="Per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CCC328-FA1F-4FCB-9BD7-F47A0DD5E4D8}" name="Table1618" displayName="Table1618" ref="B22:G34" totalsRowShown="0" headerRowDxfId="58" dataDxfId="57">
  <autoFilter ref="B22:G34" xr:uid="{D5CCC328-FA1F-4FCB-9BD7-F47A0DD5E4D8}"/>
  <tableColumns count="6">
    <tableColumn id="1" xr3:uid="{B45ECBE9-1515-480C-AA05-6F0B7AB124CA}" name="Sector" dataDxfId="56"/>
    <tableColumn id="2" xr3:uid="{8DF0A4F6-B707-43AA-A6A5-622D0072613D}" name="Year" dataDxfId="55"/>
    <tableColumn id="3" xr3:uid="{E3F6DD41-FCB7-4E52-8B89-C2FBC0BE54D4}" name="Month" dataDxfId="54"/>
    <tableColumn id="4" xr3:uid="{D0C776C8-8D9D-473D-AC5D-8AF3CA626904}" name="FOOD" dataDxfId="53"/>
    <tableColumn id="5" xr3:uid="{340035A0-C290-40D6-B2E5-B245C94492FE}" name="HEALTH" dataDxfId="52"/>
    <tableColumn id="6" xr3:uid="{80CBE5A9-C908-4C77-B749-D5AF13AA2460}" name="ESSENTIALS" dataDxfId="5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C886861-DC7E-42BA-B2DB-54EDE03D01B1}" name="Table151719" displayName="Table151719" ref="N40:Q46" totalsRowShown="0" dataDxfId="50" dataCellStyle="Percent">
  <autoFilter ref="N40:Q46" xr:uid="{EC886861-DC7E-42BA-B2DB-54EDE03D01B1}"/>
  <tableColumns count="4">
    <tableColumn id="1" xr3:uid="{CA55E4E3-5656-4F48-82D3-08F25E710EB5}" name="Years"/>
    <tableColumn id="2" xr3:uid="{719962F8-7472-424B-A265-5999DF82C77E}" name="Inflation of Food" dataDxfId="49" dataCellStyle="Percent"/>
    <tableColumn id="3" xr3:uid="{3CA66248-6434-4637-8E9D-3352876FAA74}" name="Inflation of Health" dataDxfId="48" dataCellStyle="Percent"/>
    <tableColumn id="4" xr3:uid="{3CEED620-3EBF-492C-B3B5-434F9CE6834A}" name="Inflation of Essentials" dataDxfId="47" dataCellStyle="Perce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7B27C80-097F-49F1-B420-371B19F7611E}" name="Table161820" displayName="Table161820" ref="B40:G52" totalsRowShown="0" headerRowDxfId="46" dataDxfId="45">
  <autoFilter ref="B40:G52" xr:uid="{B7B27C80-097F-49F1-B420-371B19F7611E}"/>
  <tableColumns count="6">
    <tableColumn id="1" xr3:uid="{15D7971D-45E3-4746-92CE-4BF4452BC946}" name="Sector" dataDxfId="44"/>
    <tableColumn id="2" xr3:uid="{52476586-F20F-4293-A709-C2B81110AC37}" name="Year" dataDxfId="43"/>
    <tableColumn id="3" xr3:uid="{1387B2D4-CCC7-402D-95F1-1D55A3D874BF}" name="Month" dataDxfId="42"/>
    <tableColumn id="4" xr3:uid="{3531C541-BF1E-431B-9D72-262F3C0C2E7A}" name="FOOD" dataDxfId="41"/>
    <tableColumn id="5" xr3:uid="{4154DB8F-3F3C-4E05-A428-B6E28C7E9DC0}" name="HEALTH" dataDxfId="40"/>
    <tableColumn id="6" xr3:uid="{76670B29-2600-4EAD-95B9-1C0A6750EB48}" name="ESSENTIALS" dataDxfId="3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92F4652-6CF1-4659-911A-DBC1EB0065D1}" name="Table1521" displayName="Table1521" ref="N59:Q65" totalsRowShown="0" dataDxfId="38" dataCellStyle="Percent">
  <autoFilter ref="N59:Q65" xr:uid="{592F4652-6CF1-4659-911A-DBC1EB0065D1}"/>
  <tableColumns count="4">
    <tableColumn id="1" xr3:uid="{4D8AB91A-AA1B-4468-92A4-6D58FC9E6ABE}" name="Years"/>
    <tableColumn id="2" xr3:uid="{FEAE8812-E39D-4DB9-ACA8-96B8E41125D2}" name="Inflation of Food" dataDxfId="37" dataCellStyle="Percent"/>
    <tableColumn id="3" xr3:uid="{66F59288-CD5B-4841-AC1A-6DD8F10669B9}" name="Inflation of Health" dataDxfId="36" dataCellStyle="Percent"/>
    <tableColumn id="4" xr3:uid="{863CE497-5FA0-42C5-8511-3E1456162853}" name="Inflation of Essentials" dataDxfId="35" dataCellStyle="Percent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757BD71-8627-4541-84E4-0CE5FCFD14D3}" name="Table1622" displayName="Table1622" ref="B59:G71" totalsRowShown="0" headerRowDxfId="34" dataDxfId="33">
  <autoFilter ref="B59:G71" xr:uid="{0757BD71-8627-4541-84E4-0CE5FCFD14D3}"/>
  <tableColumns count="6">
    <tableColumn id="1" xr3:uid="{C3B2768F-C9A7-477A-9E7E-C70BE5165090}" name="Sector" dataDxfId="32"/>
    <tableColumn id="2" xr3:uid="{ADC636EA-7CAE-410B-9754-A98E39A83116}" name="Year" dataDxfId="31"/>
    <tableColumn id="3" xr3:uid="{8527BDEC-4E3B-451F-9C11-576BA985CBD7}" name="Month" dataDxfId="30"/>
    <tableColumn id="4" xr3:uid="{CFF4A6D9-8902-4A8C-A2C1-9BE9555AE0F5}" name="FOOD" dataDxfId="29"/>
    <tableColumn id="5" xr3:uid="{5244D954-4838-42BB-AFFE-A84AE470F647}" name="HEALTH" dataDxfId="28"/>
    <tableColumn id="6" xr3:uid="{1C5D753E-7B30-4B2D-A83F-660113AE3368}" name="ESSENTIALS" dataDxfId="2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FC5C90F-3F0B-4173-AA8F-C54EBF544AEF}" name="Table152123" displayName="Table152123" ref="N77:Q83" totalsRowShown="0" dataDxfId="26" dataCellStyle="Percent">
  <autoFilter ref="N77:Q83" xr:uid="{4FC5C90F-3F0B-4173-AA8F-C54EBF544AEF}"/>
  <tableColumns count="4">
    <tableColumn id="1" xr3:uid="{7D904FE6-4FC5-4857-8FD1-C08017DFD8B2}" name="Years"/>
    <tableColumn id="2" xr3:uid="{A393211D-0639-4CE4-81ED-663693763334}" name="Inflation of Food" dataDxfId="25" dataCellStyle="Percent"/>
    <tableColumn id="3" xr3:uid="{3EBFCA27-2B31-4913-A52A-3D733D28380E}" name="Inflation of Health" dataDxfId="24" dataCellStyle="Percent"/>
    <tableColumn id="4" xr3:uid="{18BDB23F-FB19-4B8D-BF25-B4D44B4C73D7}" name="Inflation of Essentials" dataDxfId="23" dataCellStyle="Percent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437A49-8A29-478B-B358-0486B4BA4A05}" name="Table162224" displayName="Table162224" ref="B77:G89" totalsRowShown="0" headerRowDxfId="22" dataDxfId="21">
  <autoFilter ref="B77:G89" xr:uid="{D2437A49-8A29-478B-B358-0486B4BA4A05}"/>
  <tableColumns count="6">
    <tableColumn id="1" xr3:uid="{FC948657-7D65-4BDB-9E96-1950A4EE1C71}" name="Sector" dataDxfId="20"/>
    <tableColumn id="2" xr3:uid="{23C0917B-83CF-4F5F-8115-FBB9DC306527}" name="Year" dataDxfId="19"/>
    <tableColumn id="3" xr3:uid="{8335BD53-8FB7-4BFE-8E1E-3E62F73F3D7E}" name="Month" dataDxfId="18"/>
    <tableColumn id="4" xr3:uid="{4D677769-4ECE-4E17-A6CC-78E2E9C3D9D5}" name="FOOD" dataDxfId="17"/>
    <tableColumn id="5" xr3:uid="{7AC68622-3EBA-4E86-B54A-3C837A26BB45}" name="HEALTH" dataDxfId="16"/>
    <tableColumn id="6" xr3:uid="{075E8697-14EB-4015-A6AB-1BBDE44B01C7}" name="ESSENTIALS" dataDxfId="15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28CB3A7-A1F9-4779-A40D-CD5CA8BABE64}" name="Table15212325" displayName="Table15212325" ref="N94:Q100" totalsRowShown="0" dataDxfId="14" dataCellStyle="Percent">
  <autoFilter ref="N94:Q100" xr:uid="{928CB3A7-A1F9-4779-A40D-CD5CA8BABE64}"/>
  <tableColumns count="4">
    <tableColumn id="1" xr3:uid="{269F80EE-0B47-4827-A464-02C68AFFC974}" name="Years"/>
    <tableColumn id="2" xr3:uid="{1400D3DF-CE27-4310-9D1C-4860CD3CC63D}" name="Inflation of Food" dataDxfId="13" dataCellStyle="Percent"/>
    <tableColumn id="3" xr3:uid="{52A067B2-E284-48FF-B52D-45D01DF1DBBE}" name="Inflation of Health" dataDxfId="12" dataCellStyle="Percent"/>
    <tableColumn id="4" xr3:uid="{D4E685C0-545F-478F-AD8A-25F1BF0C07D8}" name="Inflation of Essentials" dataDxfId="11" dataCellStyle="Percent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6C80AA8-46EB-4B3D-BBDD-B3C791AC801F}" name="Table16222426" displayName="Table16222426" ref="B94:G106" totalsRowShown="0" headerRowDxfId="10" dataDxfId="9">
  <autoFilter ref="B94:G106" xr:uid="{76C80AA8-46EB-4B3D-BBDD-B3C791AC801F}"/>
  <tableColumns count="6">
    <tableColumn id="1" xr3:uid="{FD332F77-AA2A-41AF-9764-58D36A776BAD}" name="Sector" dataDxfId="8"/>
    <tableColumn id="2" xr3:uid="{FAF2FD8A-CD1F-46D1-9E01-B19566D2AA72}" name="Year" dataDxfId="7"/>
    <tableColumn id="3" xr3:uid="{656FBDC4-070E-4C39-9690-58D59B7A2747}" name="Month" dataDxfId="6"/>
    <tableColumn id="4" xr3:uid="{CA0BB51C-6FD5-4BBF-B9A0-40108ABA3DDF}" name="FOOD" dataDxfId="5"/>
    <tableColumn id="5" xr3:uid="{993916E3-A6BB-4EA9-8754-C77FFF484560}" name="HEALTH" dataDxfId="4"/>
    <tableColumn id="6" xr3:uid="{F6DF2F2E-3651-46A9-9D55-302FC44D5E60}" name="ESSENTIALS" dataDxfId="3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C11EA79-C8B7-48FA-AA87-60F8ADC211D0}" name="Table27" displayName="Table27" ref="E3:AH33" totalsRowCount="1" headerRowDxfId="2">
  <autoFilter ref="E3:AH32" xr:uid="{7C11EA79-C8B7-48FA-AA87-60F8ADC211D0}"/>
  <tableColumns count="30">
    <tableColumn id="1" xr3:uid="{FDAB57C4-EC48-40F3-B45F-DBE6FCC082A7}" name="Sector"/>
    <tableColumn id="2" xr3:uid="{EE4641E0-3A99-4C55-9F29-772DD56A1008}" name="Year"/>
    <tableColumn id="3" xr3:uid="{AD62A15B-D048-4DE8-AA38-4A4D9F45AAED}" name="Month"/>
    <tableColumn id="4" xr3:uid="{6B6296BC-414C-4526-95C8-F4D325414924}" name="Cereals and products" totalsRowFunction="custom">
      <totalsRowFormula>CORREL($B$4:$B$32,Table27[Cereals and products])</totalsRowFormula>
    </tableColumn>
    <tableColumn id="5" xr3:uid="{6CD8996C-C82D-4E32-A133-519D297209D7}" name="Meat and fish" totalsRowFunction="custom">
      <totalsRowFormula>CORREL($B$4:$B$32,Table27[Meat and fish])</totalsRowFormula>
    </tableColumn>
    <tableColumn id="6" xr3:uid="{25FA76AA-397C-4058-A314-1AA7D8DD4A27}" name="Egg" totalsRowFunction="custom">
      <totalsRowFormula>CORREL($B$4:$B$32,Table27[Egg])</totalsRowFormula>
    </tableColumn>
    <tableColumn id="7" xr3:uid="{E9115B88-0C78-499E-A859-D0B71EE18115}" name="Milk and products" totalsRowFunction="custom">
      <totalsRowFormula>CORREL($B$4:$B$32,Table27[Milk and products])</totalsRowFormula>
    </tableColumn>
    <tableColumn id="8" xr3:uid="{7CB738B6-36DF-493D-822F-AE76B1F8F4F4}" name="Oils and fats" totalsRowFunction="custom">
      <totalsRowFormula>CORREL($B$4:$B$32,Table27[Oils and fats])</totalsRowFormula>
    </tableColumn>
    <tableColumn id="9" xr3:uid="{EF8AB379-263B-40E8-8508-2ABB4A79AC4B}" name="Fruits" totalsRowFunction="custom">
      <totalsRowFormula>CORREL($B$4:$B$32,Table27[Fruits])</totalsRowFormula>
    </tableColumn>
    <tableColumn id="10" xr3:uid="{03DEEC3D-FFB6-4329-B99A-B392AB33DB68}" name="Vegetables" totalsRowFunction="custom">
      <totalsRowFormula>CORREL($B$4:$B$32,Table27[Vegetables])</totalsRowFormula>
    </tableColumn>
    <tableColumn id="11" xr3:uid="{45E3B700-C8A4-42E2-BC81-2D1BF94A1D63}" name="Pulses and products" totalsRowFunction="custom">
      <totalsRowFormula>CORREL($B$4:$B$32,Table27[Pulses and products])</totalsRowFormula>
    </tableColumn>
    <tableColumn id="12" xr3:uid="{3750A69A-CE26-4D03-8352-80EC69C0CA32}" name="Sugar and Confectionery" totalsRowFunction="custom">
      <totalsRowFormula>CORREL($B$4:$B$32,Table27[Sugar and Confectionery])</totalsRowFormula>
    </tableColumn>
    <tableColumn id="13" xr3:uid="{18C54E58-776D-4728-A91B-9E84B17B0CD0}" name="Spices" totalsRowFunction="custom">
      <totalsRowFormula>CORREL($B$4:$B$32,Table27[Spices])</totalsRowFormula>
    </tableColumn>
    <tableColumn id="14" xr3:uid="{F5ABAAC1-B658-4AC6-B075-C3F2ABB9B565}" name="Non-alcoholic beverages" totalsRowFunction="custom">
      <totalsRowFormula>CORREL($B$4:$B$32,Table27[Non-alcoholic beverages])</totalsRowFormula>
    </tableColumn>
    <tableColumn id="15" xr3:uid="{CA9F192E-D856-4322-B4BD-3039DDA79743}" name="Prepared meals, snacks, sweets etc." totalsRowFunction="custom">
      <totalsRowFormula>CORREL($B$4:$B$32,Table27[Prepared meals, snacks, sweets etc.])</totalsRowFormula>
    </tableColumn>
    <tableColumn id="16" xr3:uid="{6FAC7C21-ED31-4E11-B5D2-7AEC03A1C911}" name="Food and beverages" totalsRowFunction="custom">
      <totalsRowFormula>CORREL($B$4:$B$32,Table27[Food and beverages])</totalsRowFormula>
    </tableColumn>
    <tableColumn id="17" xr3:uid="{9AEEEA1A-2B7B-4951-B63A-5D5D010211B6}" name="Pan, tobacco and intoxicants" totalsRowFunction="custom">
      <totalsRowFormula>CORREL($B$4:$B$32,Table27[Pan, tobacco and intoxicants])</totalsRowFormula>
    </tableColumn>
    <tableColumn id="18" xr3:uid="{F6D08391-ED38-45B4-A57F-051C53007D4F}" name="Clothing" totalsRowFunction="custom">
      <totalsRowFormula>CORREL($B$4:$B$32,Table27[Clothing])</totalsRowFormula>
    </tableColumn>
    <tableColumn id="19" xr3:uid="{36ACBF90-568F-4209-AAF8-F97394BC3C6A}" name="Footwear" totalsRowFunction="custom">
      <totalsRowFormula>CORREL($B$4:$B$32,Table27[Footwear])</totalsRowFormula>
    </tableColumn>
    <tableColumn id="20" xr3:uid="{2E38F4A2-DA03-448A-A16B-64C2ECF09DB4}" name="Clothing and footwear" totalsRowFunction="custom">
      <totalsRowFormula>CORREL($B$4:$B$32,Table27[Clothing and footwear])</totalsRowFormula>
    </tableColumn>
    <tableColumn id="21" xr3:uid="{4853C5CA-928D-4301-801C-27001789E8B8}" name="Housing" totalsRowFunction="custom">
      <totalsRowFormula>CORREL($B$4:$B$32,Table27[Housing])</totalsRowFormula>
    </tableColumn>
    <tableColumn id="22" xr3:uid="{6D8FD03F-644A-4ED9-900D-8674B8732A62}" name="Fuel and light" totalsRowFunction="custom">
      <totalsRowFormula>CORREL($B$4:$B$32,Table27[Fuel and light])</totalsRowFormula>
    </tableColumn>
    <tableColumn id="23" xr3:uid="{94E9D745-4364-428C-B040-B38C68C1F1AE}" name="Household goods and services" totalsRowFunction="custom">
      <totalsRowFormula>CORREL($B$4:$B$32,Table27[Household goods and services])</totalsRowFormula>
    </tableColumn>
    <tableColumn id="24" xr3:uid="{52CD7166-5639-4C3E-B747-E2E48C4EB39F}" name="Health" totalsRowFunction="custom">
      <totalsRowFormula>CORREL($B$4:$B$32,Table27[Health])</totalsRowFormula>
    </tableColumn>
    <tableColumn id="25" xr3:uid="{6D05F224-A6E6-4745-A03E-216E195B8F68}" name="Transport and communication" totalsRowFunction="custom">
      <totalsRowFormula>CORREL($B$4:$B$32,Table27[Transport and communication])</totalsRowFormula>
    </tableColumn>
    <tableColumn id="26" xr3:uid="{2AD6F6AE-87C1-4B69-94C6-C2C77B20455B}" name="Recreation and amusement" totalsRowFunction="custom">
      <totalsRowFormula>CORREL($B$4:$B$32,Table27[Recreation and amusement])</totalsRowFormula>
    </tableColumn>
    <tableColumn id="27" xr3:uid="{04BDA168-717E-486A-8D34-2B53B18DCDE2}" name="Education" totalsRowFunction="custom">
      <totalsRowFormula>CORREL($B$4:$B$32,Table27[Education])</totalsRowFormula>
    </tableColumn>
    <tableColumn id="28" xr3:uid="{2F91306B-B063-4057-9E8B-50365D9ED495}" name="Personal care and effects" totalsRowFunction="custom">
      <totalsRowFormula>CORREL($B$4:$B$32,Table27[Personal care and effects])</totalsRowFormula>
    </tableColumn>
    <tableColumn id="29" xr3:uid="{D66DEEA1-1729-4EBF-B20C-351334397D97}" name="Miscellaneous" totalsRowFunction="custom">
      <totalsRowFormula>CORREL($B$4:$B$32,Table27[Miscellaneous])</totalsRowFormula>
    </tableColumn>
    <tableColumn id="30" xr3:uid="{EC8CCC03-0CF4-486F-880C-328959DDE02A}" name="General index" totalsRowFunction="custom">
      <totalsRowFormula>CORREL($B$4:$B$32,Table27[General index])</totalsRow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AB96683-3B0F-4C43-907A-1EA939269118}" name="Table2730" displayName="Table2730" ref="E38:AH68" totalsRowCount="1" headerRowDxfId="1">
  <autoFilter ref="E38:AH67" xr:uid="{2AB96683-3B0F-4C43-907A-1EA939269118}"/>
  <tableColumns count="30">
    <tableColumn id="1" xr3:uid="{C0476F09-32A9-4003-963D-603523ED93F3}" name="Sector"/>
    <tableColumn id="2" xr3:uid="{AE2B69A2-B7B3-492F-9BC3-9EC75306EF3B}" name="Year"/>
    <tableColumn id="3" xr3:uid="{DBC3BCD9-98B8-4BA0-B685-102DD2341C0B}" name="Month"/>
    <tableColumn id="4" xr3:uid="{D7A2FA61-5310-44A4-9640-8426C13B5B8F}" name="Cereals and products" totalsRowFunction="custom">
      <totalsRowFormula>CORREL($B$4:$B$32,Table2730[Cereals and products])</totalsRowFormula>
    </tableColumn>
    <tableColumn id="5" xr3:uid="{7E1CEAE3-EAD3-4798-96F4-DD8DDDFF45C4}" name="Meat and fish" totalsRowFunction="custom">
      <totalsRowFormula>CORREL($B$4:$B$32,Table2730[Meat and fish])</totalsRowFormula>
    </tableColumn>
    <tableColumn id="6" xr3:uid="{B49783AC-31D2-4BDF-9789-FC16A23F140F}" name="Egg" totalsRowFunction="custom">
      <totalsRowFormula>CORREL($B$4:$B$32,Table2730[Egg])</totalsRowFormula>
    </tableColumn>
    <tableColumn id="7" xr3:uid="{75148F6B-3094-4280-8794-D36849992C7D}" name="Milk and products" totalsRowFunction="custom">
      <totalsRowFormula>CORREL($B$4:$B$32,Table2730[Milk and products])</totalsRowFormula>
    </tableColumn>
    <tableColumn id="8" xr3:uid="{B528B696-1D01-44A2-91F1-B0D227C7BE11}" name="Oils and fats" totalsRowFunction="custom">
      <totalsRowFormula>CORREL($B$4:$B$32,Table2730[Oils and fats])</totalsRowFormula>
    </tableColumn>
    <tableColumn id="9" xr3:uid="{4CB4A922-24E6-43B0-98E9-5E56A44A2CCE}" name="Fruits" totalsRowFunction="custom">
      <totalsRowFormula>CORREL($B$4:$B$32,Table2730[Fruits])</totalsRowFormula>
    </tableColumn>
    <tableColumn id="10" xr3:uid="{FA1A3D45-099C-4D54-9C29-06075A2D985F}" name="Vegetables" totalsRowFunction="custom">
      <totalsRowFormula>CORREL($B$4:$B$32,Table2730[Vegetables])</totalsRowFormula>
    </tableColumn>
    <tableColumn id="11" xr3:uid="{BE10B4BD-F670-4E8F-8305-90F39FDF7FA4}" name="Pulses and products" totalsRowFunction="custom">
      <totalsRowFormula>CORREL($B$4:$B$32,Table2730[Pulses and products])</totalsRowFormula>
    </tableColumn>
    <tableColumn id="12" xr3:uid="{97B27DC4-7EEC-48A9-8746-DC6282E50536}" name="Sugar and Confectionery" totalsRowFunction="custom">
      <totalsRowFormula>CORREL($B$4:$B$32,Table2730[Sugar and Confectionery])</totalsRowFormula>
    </tableColumn>
    <tableColumn id="13" xr3:uid="{E07D1764-3DE5-4B42-90F1-4B8B3983AD29}" name="Spices" totalsRowFunction="custom">
      <totalsRowFormula>CORREL($B$4:$B$32,Table2730[Spices])</totalsRowFormula>
    </tableColumn>
    <tableColumn id="14" xr3:uid="{CE26A628-4A88-40CB-9D52-8D6CB5E75EB7}" name="Non-alcoholic beverages" totalsRowFunction="custom">
      <totalsRowFormula>CORREL($B$4:$B$32,Table2730[Non-alcoholic beverages])</totalsRowFormula>
    </tableColumn>
    <tableColumn id="15" xr3:uid="{D941D181-A535-40B0-82FF-40CD1E03CF8A}" name="Prepared meals, snacks, sweets etc." totalsRowFunction="custom">
      <totalsRowFormula>CORREL($B$4:$B$32,Table2730[Prepared meals, snacks, sweets etc.])</totalsRowFormula>
    </tableColumn>
    <tableColumn id="16" xr3:uid="{D2EE4F3D-C5CD-47DB-8AD5-F69E98F0C3F6}" name="Food and beverages" totalsRowFunction="custom">
      <totalsRowFormula>CORREL($B$4:$B$32,Table2730[Food and beverages])</totalsRowFormula>
    </tableColumn>
    <tableColumn id="17" xr3:uid="{FCCB8B07-49AB-4CC2-A2C1-FF6579D854D7}" name="Pan, tobacco and intoxicants" totalsRowFunction="custom">
      <totalsRowFormula>CORREL($B$4:$B$32,Table2730[Pan, tobacco and intoxicants])</totalsRowFormula>
    </tableColumn>
    <tableColumn id="18" xr3:uid="{744B9C86-0DA7-4D5D-885F-38289E9199B4}" name="Clothing" totalsRowFunction="custom">
      <totalsRowFormula>CORREL($B$4:$B$32,Table2730[Clothing])</totalsRowFormula>
    </tableColumn>
    <tableColumn id="19" xr3:uid="{7D9EFAFA-F71E-4CF6-90C7-C148A3AC1393}" name="Footwear" totalsRowFunction="custom">
      <totalsRowFormula>CORREL($B$4:$B$32,Table2730[Footwear])</totalsRowFormula>
    </tableColumn>
    <tableColumn id="20" xr3:uid="{D28AD201-1F96-4B05-A0A7-7B9447B8B32F}" name="Clothing and footwear" totalsRowFunction="custom">
      <totalsRowFormula>CORREL($B$4:$B$32,Table2730[Clothing and footwear])</totalsRowFormula>
    </tableColumn>
    <tableColumn id="21" xr3:uid="{DFEBF7E7-92C2-487C-9D23-D75CB8E9BD3F}" name="Housing" totalsRowFunction="custom">
      <totalsRowFormula>CORREL($B$4:$B$32,Table2730[Housing])</totalsRowFormula>
    </tableColumn>
    <tableColumn id="22" xr3:uid="{33AD9684-E7C2-4BD0-95FC-F3C1A656F065}" name="Fuel and light" totalsRowFunction="custom">
      <totalsRowFormula>CORREL($B$4:$B$32,Table2730[Fuel and light])</totalsRowFormula>
    </tableColumn>
    <tableColumn id="23" xr3:uid="{E58FDB2A-B92B-487D-B298-496D0B99953C}" name="Household goods and services" totalsRowFunction="custom">
      <totalsRowFormula>CORREL($B$4:$B$32,Table2730[Household goods and services])</totalsRowFormula>
    </tableColumn>
    <tableColumn id="24" xr3:uid="{77198359-9AA4-4684-B3A9-77F794F7AF07}" name="Health" totalsRowFunction="custom">
      <totalsRowFormula>CORREL($B$4:$B$32,Table2730[Health])</totalsRowFormula>
    </tableColumn>
    <tableColumn id="25" xr3:uid="{CF18E0F6-F11B-41E8-B249-65A09952DBDB}" name="Transport and communication" totalsRowFunction="custom">
      <totalsRowFormula>CORREL($B$4:$B$32,Table2730[Transport and communication])</totalsRowFormula>
    </tableColumn>
    <tableColumn id="26" xr3:uid="{E2B484BC-8CA3-4F1C-BEFD-7B971C8E0F76}" name="Recreation and amusement" totalsRowFunction="custom">
      <totalsRowFormula>CORREL($B$4:$B$32,Table2730[Recreation and amusement])</totalsRowFormula>
    </tableColumn>
    <tableColumn id="27" xr3:uid="{E23FCF9D-7161-4ED0-A12F-DAC5F9BAFD9F}" name="Education" totalsRowFunction="custom">
      <totalsRowFormula>CORREL($B$4:$B$32,Table2730[Education])</totalsRowFormula>
    </tableColumn>
    <tableColumn id="28" xr3:uid="{ACCE26D8-F56D-44BD-9B40-F32EEC45E73A}" name="Personal care and effects" totalsRowFunction="custom">
      <totalsRowFormula>CORREL($B$4:$B$32,Table2730[Personal care and effects])</totalsRowFormula>
    </tableColumn>
    <tableColumn id="29" xr3:uid="{2A251549-29B8-490E-BFDE-DC458BDD6EEA}" name="Miscellaneous" totalsRowFunction="custom">
      <totalsRowFormula>CORREL($B$4:$B$32,Table2730[Miscellaneous])</totalsRowFormula>
    </tableColumn>
    <tableColumn id="30" xr3:uid="{0F6F4798-1FBE-4D9E-AD7B-8D6C5AC759D9}" name="General index" totalsRowFunction="custom">
      <totalsRowFormula>CORREL($B$4:$B$32,Table2730[General index])</totalsRow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2F65346-B1D4-4AA7-9BDF-219F161BB48E}" name="Table273031" displayName="Table273031" ref="E73:AH103" totalsRowCount="1" headerRowDxfId="0">
  <autoFilter ref="E73:AH102" xr:uid="{32F65346-B1D4-4AA7-9BDF-219F161BB48E}"/>
  <tableColumns count="30">
    <tableColumn id="1" xr3:uid="{73A1DFF6-3FF6-4C37-99E2-1DB6828EB804}" name="Sector"/>
    <tableColumn id="2" xr3:uid="{6F538372-5BAE-4B68-8EBE-B4DAAAD06CCE}" name="Year"/>
    <tableColumn id="3" xr3:uid="{6B0CE0C7-00BC-4EDA-98BF-BC3589584E18}" name="Month"/>
    <tableColumn id="4" xr3:uid="{47A2F8EC-D406-41D1-A3C7-9A29FAB902A2}" name="Cereals and products" totalsRowFunction="custom">
      <totalsRowFormula>CORREL($B$4:$B$32,Table273031[Cereals and products])</totalsRowFormula>
    </tableColumn>
    <tableColumn id="5" xr3:uid="{A21D33DA-40E7-4E49-9973-FAC6B9EEFC97}" name="Meat and fish" totalsRowFunction="custom">
      <totalsRowFormula>CORREL($B$4:$B$32,Table273031[Meat and fish])</totalsRowFormula>
    </tableColumn>
    <tableColumn id="6" xr3:uid="{01E06A76-39E3-4F6C-8821-3AB319A080A2}" name="Egg" totalsRowFunction="custom">
      <totalsRowFormula>CORREL($B$4:$B$32,Table273031[Egg])</totalsRowFormula>
    </tableColumn>
    <tableColumn id="7" xr3:uid="{43734D6C-026F-424E-AF19-C6FF51BF1EA4}" name="Milk and products" totalsRowFunction="custom">
      <totalsRowFormula>CORREL($B$4:$B$32,Table273031[Milk and products])</totalsRowFormula>
    </tableColumn>
    <tableColumn id="8" xr3:uid="{8C4B867F-832C-4ABB-AD4B-0B7F6FF45863}" name="Oils and fats" totalsRowFunction="custom">
      <totalsRowFormula>CORREL($B$4:$B$32,Table273031[Oils and fats])</totalsRowFormula>
    </tableColumn>
    <tableColumn id="9" xr3:uid="{B10EC634-DB60-4F61-9670-A66FFA60447F}" name="Fruits" totalsRowFunction="custom">
      <totalsRowFormula>CORREL($B$4:$B$32,Table273031[Fruits])</totalsRowFormula>
    </tableColumn>
    <tableColumn id="10" xr3:uid="{78333C9F-88AF-4895-959C-C418F51A2F20}" name="Vegetables" totalsRowFunction="custom">
      <totalsRowFormula>CORREL($B$4:$B$32,Table273031[Vegetables])</totalsRowFormula>
    </tableColumn>
    <tableColumn id="11" xr3:uid="{737B6287-FBFC-4EB9-8A4E-7D46CC950D76}" name="Pulses and products" totalsRowFunction="custom">
      <totalsRowFormula>CORREL($B$4:$B$32,Table273031[Pulses and products])</totalsRowFormula>
    </tableColumn>
    <tableColumn id="12" xr3:uid="{67C7ABB1-7BCC-4DD9-8E41-2DA78C0218A9}" name="Sugar and Confectionery" totalsRowFunction="custom">
      <totalsRowFormula>CORREL($B$4:$B$32,Table273031[Sugar and Confectionery])</totalsRowFormula>
    </tableColumn>
    <tableColumn id="13" xr3:uid="{170CBBBD-D7E9-48FD-8F14-CF10FCF3ED73}" name="Spices" totalsRowFunction="custom">
      <totalsRowFormula>CORREL($B$4:$B$32,Table273031[Spices])</totalsRowFormula>
    </tableColumn>
    <tableColumn id="14" xr3:uid="{28B1E03F-2C99-422B-B1E0-515D5AA7B708}" name="Non-alcoholic beverages" totalsRowFunction="custom">
      <totalsRowFormula>CORREL($B$4:$B$32,Table273031[Non-alcoholic beverages])</totalsRowFormula>
    </tableColumn>
    <tableColumn id="15" xr3:uid="{B23186E8-45D5-45E8-A133-C36A67BF2A58}" name="Prepared meals, snacks, sweets etc." totalsRowFunction="custom">
      <totalsRowFormula>CORREL($B$4:$B$32,Table273031[Prepared meals, snacks, sweets etc.])</totalsRowFormula>
    </tableColumn>
    <tableColumn id="16" xr3:uid="{A2301D55-14AF-438B-AA74-0B88C249560E}" name="Food and beverages" totalsRowFunction="custom">
      <totalsRowFormula>CORREL($B$4:$B$32,Table273031[Food and beverages])</totalsRowFormula>
    </tableColumn>
    <tableColumn id="17" xr3:uid="{4F9AABE8-1DCE-4F21-B52F-01ACA5FC7C21}" name="Pan, tobacco and intoxicants" totalsRowFunction="custom">
      <totalsRowFormula>CORREL($B$4:$B$32,Table273031[Pan, tobacco and intoxicants])</totalsRowFormula>
    </tableColumn>
    <tableColumn id="18" xr3:uid="{6A70B3CE-C4EC-4D8C-AEE0-869C4FF28869}" name="Clothing" totalsRowFunction="custom">
      <totalsRowFormula>CORREL($B$4:$B$32,Table273031[Clothing])</totalsRowFormula>
    </tableColumn>
    <tableColumn id="19" xr3:uid="{9714EFBE-1E9C-4FCA-AF99-3F3207C2A3F3}" name="Footwear" totalsRowFunction="custom">
      <totalsRowFormula>CORREL($B$4:$B$32,Table273031[Footwear])</totalsRowFormula>
    </tableColumn>
    <tableColumn id="20" xr3:uid="{272E5E4D-9D16-4D93-84D2-597A0CBCC5C6}" name="Clothing and footwear" totalsRowFunction="custom">
      <totalsRowFormula>CORREL($B$4:$B$32,Table273031[Clothing and footwear])</totalsRowFormula>
    </tableColumn>
    <tableColumn id="21" xr3:uid="{0B41C714-B016-4E4F-A23A-AF3EBFFEB4C6}" name="Housing" totalsRowFunction="custom">
      <totalsRowFormula>CORREL($B$4:$B$32,Table273031[Housing])</totalsRowFormula>
    </tableColumn>
    <tableColumn id="22" xr3:uid="{4C74A1D2-BCE4-42B8-AABA-1E07A4F894D9}" name="Fuel and light" totalsRowFunction="custom">
      <totalsRowFormula>CORREL($B$4:$B$32,Table273031[Fuel and light])</totalsRowFormula>
    </tableColumn>
    <tableColumn id="23" xr3:uid="{2CD47871-194C-4EA8-85E0-B6C3E80594BA}" name="Household goods and services" totalsRowFunction="custom">
      <totalsRowFormula>CORREL($B$4:$B$32,Table273031[Household goods and services])</totalsRowFormula>
    </tableColumn>
    <tableColumn id="24" xr3:uid="{33B0D6FB-D001-43DB-B372-D9C67BE230FE}" name="Health" totalsRowFunction="custom">
      <totalsRowFormula>CORREL($B$4:$B$32,Table273031[Health])</totalsRowFormula>
    </tableColumn>
    <tableColumn id="25" xr3:uid="{DEC27B52-AA39-41B3-968F-965646692B27}" name="Transport and communication" totalsRowFunction="custom">
      <totalsRowFormula>CORREL($B$4:$B$32,Table273031[Transport and communication])</totalsRowFormula>
    </tableColumn>
    <tableColumn id="26" xr3:uid="{25DE675C-7FFB-4180-AAF6-AC7D5D730B8B}" name="Recreation and amusement" totalsRowFunction="custom">
      <totalsRowFormula>CORREL($B$4:$B$32,Table273031[Recreation and amusement])</totalsRowFormula>
    </tableColumn>
    <tableColumn id="27" xr3:uid="{494BAE74-5E58-4D31-B48C-CFF3F54447A3}" name="Education" totalsRowFunction="custom">
      <totalsRowFormula>CORREL($B$4:$B$32,Table273031[Education])</totalsRowFormula>
    </tableColumn>
    <tableColumn id="28" xr3:uid="{F2E1CB86-A9AF-4BD4-931E-9BB1240BDD66}" name="Personal care and effects" totalsRowFunction="custom">
      <totalsRowFormula>CORREL($B$4:$B$32,Table273031[Personal care and effects])</totalsRowFormula>
    </tableColumn>
    <tableColumn id="29" xr3:uid="{279844D7-F28C-4398-9F1F-635129B24BBB}" name="Miscellaneous" totalsRowFunction="custom">
      <totalsRowFormula>CORREL($B$4:$B$32,Table273031[Miscellaneous])</totalsRowFormula>
    </tableColumn>
    <tableColumn id="30" xr3:uid="{9B391F11-810C-4D19-A9F3-0846F52D78C5}" name="General index" totalsRowFunction="custom">
      <totalsRowFormula>CORREL($B$4:$B$32,Table273031[General index])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drawing" Target="../drawings/drawing5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291C-BC46-4444-A0ED-AA8925F8E55F}">
  <dimension ref="A1:BK376"/>
  <sheetViews>
    <sheetView tabSelected="1" topLeftCell="AO1" zoomScaleNormal="100" workbookViewId="0">
      <selection activeCell="AG6" sqref="AG6"/>
    </sheetView>
  </sheetViews>
  <sheetFormatPr defaultRowHeight="14.5" x14ac:dyDescent="0.35"/>
  <cols>
    <col min="4" max="30" width="8.90625" hidden="1" customWidth="1"/>
    <col min="31" max="63" width="8.90625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7</v>
      </c>
      <c r="AJ1" s="2" t="s">
        <v>8</v>
      </c>
      <c r="AK1" s="2" t="s">
        <v>9</v>
      </c>
      <c r="AL1" s="2" t="s">
        <v>10</v>
      </c>
      <c r="AM1" s="2" t="s">
        <v>11</v>
      </c>
      <c r="AN1" s="2" t="s">
        <v>12</v>
      </c>
      <c r="AO1" s="2" t="s">
        <v>13</v>
      </c>
      <c r="AP1" s="2" t="s">
        <v>14</v>
      </c>
      <c r="AQ1" s="2" t="s">
        <v>15</v>
      </c>
      <c r="AR1" s="2" t="s">
        <v>16</v>
      </c>
      <c r="AS1" s="2" t="s">
        <v>17</v>
      </c>
      <c r="AT1" s="2" t="s">
        <v>18</v>
      </c>
      <c r="AU1" s="2" t="s">
        <v>19</v>
      </c>
      <c r="AV1" s="2" t="s">
        <v>20</v>
      </c>
      <c r="AW1" s="2" t="s">
        <v>21</v>
      </c>
      <c r="AX1" s="2" t="s">
        <v>22</v>
      </c>
      <c r="AY1" s="2" t="s">
        <v>23</v>
      </c>
      <c r="AZ1" s="2" t="s">
        <v>24</v>
      </c>
      <c r="BA1" s="2" t="s">
        <v>25</v>
      </c>
      <c r="BB1" s="2" t="s">
        <v>26</v>
      </c>
      <c r="BC1" s="2" t="s">
        <v>27</v>
      </c>
      <c r="BD1" s="2" t="s">
        <v>28</v>
      </c>
      <c r="BE1" s="2" t="s">
        <v>29</v>
      </c>
      <c r="BF1" s="3" t="s">
        <v>48</v>
      </c>
      <c r="BG1" s="3" t="s">
        <v>49</v>
      </c>
      <c r="BH1" s="3" t="s">
        <v>50</v>
      </c>
      <c r="BI1" s="3" t="s">
        <v>51</v>
      </c>
      <c r="BJ1" s="3" t="s">
        <v>52</v>
      </c>
      <c r="BK1" s="3" t="s">
        <v>53</v>
      </c>
    </row>
    <row r="2" spans="1:63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>D2</f>
        <v>107.5</v>
      </c>
      <c r="AF2">
        <f t="shared" ref="AF2:BE2" si="0">E2</f>
        <v>106.3</v>
      </c>
      <c r="AG2">
        <f t="shared" si="0"/>
        <v>108.1</v>
      </c>
      <c r="AH2">
        <f t="shared" si="0"/>
        <v>104.9</v>
      </c>
      <c r="AI2">
        <f t="shared" si="0"/>
        <v>106.1</v>
      </c>
      <c r="AJ2">
        <f t="shared" si="0"/>
        <v>103.9</v>
      </c>
      <c r="AK2">
        <f t="shared" si="0"/>
        <v>101.9</v>
      </c>
      <c r="AL2">
        <f t="shared" si="0"/>
        <v>106.1</v>
      </c>
      <c r="AM2">
        <f t="shared" si="0"/>
        <v>106.8</v>
      </c>
      <c r="AN2">
        <f t="shared" si="0"/>
        <v>103.1</v>
      </c>
      <c r="AO2">
        <f t="shared" si="0"/>
        <v>104.8</v>
      </c>
      <c r="AP2">
        <f t="shared" si="0"/>
        <v>106.7</v>
      </c>
      <c r="AQ2">
        <f t="shared" si="0"/>
        <v>105.5</v>
      </c>
      <c r="AR2">
        <f t="shared" si="0"/>
        <v>105.1</v>
      </c>
      <c r="AS2">
        <f t="shared" si="0"/>
        <v>106.5</v>
      </c>
      <c r="AT2">
        <f t="shared" si="0"/>
        <v>105.8</v>
      </c>
      <c r="AU2">
        <f t="shared" si="0"/>
        <v>106.4</v>
      </c>
      <c r="AV2">
        <f>IF(OR(U2="NA",U2="-"),AVERAGE(AV3:AV4),U2)</f>
        <v>100.3</v>
      </c>
      <c r="AW2">
        <f t="shared" si="0"/>
        <v>105.5</v>
      </c>
      <c r="AX2">
        <f t="shared" si="0"/>
        <v>104.8</v>
      </c>
      <c r="AY2">
        <f t="shared" si="0"/>
        <v>104</v>
      </c>
      <c r="AZ2">
        <f t="shared" si="0"/>
        <v>103.3</v>
      </c>
      <c r="BA2">
        <f t="shared" si="0"/>
        <v>103.4</v>
      </c>
      <c r="BB2">
        <f t="shared" si="0"/>
        <v>103.8</v>
      </c>
      <c r="BC2">
        <f t="shared" si="0"/>
        <v>104.7</v>
      </c>
      <c r="BD2">
        <f t="shared" si="0"/>
        <v>104</v>
      </c>
      <c r="BE2">
        <f t="shared" si="0"/>
        <v>105.1</v>
      </c>
      <c r="BF2">
        <f>SUM(AE2:AQ2)</f>
        <v>1371.6999999999998</v>
      </c>
      <c r="BG2">
        <f>SUM(AS2:AU2)</f>
        <v>318.70000000000005</v>
      </c>
      <c r="BH2">
        <f>SUM(AY2+BC2)</f>
        <v>208.7</v>
      </c>
      <c r="BI2">
        <f>BB2+AX2+AV2</f>
        <v>308.89999999999998</v>
      </c>
      <c r="BJ2">
        <f>SUM(AR2+BA2+BD2)</f>
        <v>312.5</v>
      </c>
      <c r="BK2">
        <f>AZ2+AW2</f>
        <v>208.8</v>
      </c>
    </row>
    <row r="3" spans="1:63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ref="AE3:AE66" si="1">D3</f>
        <v>110.5</v>
      </c>
      <c r="AF3">
        <f t="shared" ref="AF3:AF66" si="2">E3</f>
        <v>109.1</v>
      </c>
      <c r="AG3">
        <f t="shared" ref="AG3:AG66" si="3">F3</f>
        <v>113</v>
      </c>
      <c r="AH3">
        <f t="shared" ref="AH3:AH66" si="4">G3</f>
        <v>103.6</v>
      </c>
      <c r="AI3">
        <f t="shared" ref="AI3:AI66" si="5">H3</f>
        <v>103.4</v>
      </c>
      <c r="AJ3">
        <f t="shared" ref="AJ3:AJ66" si="6">I3</f>
        <v>102.3</v>
      </c>
      <c r="AK3">
        <f t="shared" ref="AK3:AK66" si="7">J3</f>
        <v>102.9</v>
      </c>
      <c r="AL3">
        <f t="shared" ref="AL3:AL66" si="8">K3</f>
        <v>105.8</v>
      </c>
      <c r="AM3">
        <f t="shared" ref="AM3:AM66" si="9">L3</f>
        <v>105.1</v>
      </c>
      <c r="AN3">
        <f t="shared" ref="AN3:AN66" si="10">M3</f>
        <v>101.8</v>
      </c>
      <c r="AO3">
        <f t="shared" ref="AO3:AO66" si="11">N3</f>
        <v>105.1</v>
      </c>
      <c r="AP3">
        <f t="shared" ref="AP3:AP66" si="12">O3</f>
        <v>107.9</v>
      </c>
      <c r="AQ3">
        <f t="shared" ref="AQ3:AQ66" si="13">P3</f>
        <v>105.9</v>
      </c>
      <c r="AR3">
        <f t="shared" ref="AR3:AR66" si="14">Q3</f>
        <v>105.2</v>
      </c>
      <c r="AS3">
        <f t="shared" ref="AS3:AS66" si="15">R3</f>
        <v>105.9</v>
      </c>
      <c r="AT3">
        <f t="shared" ref="AT3:AT66" si="16">S3</f>
        <v>105</v>
      </c>
      <c r="AU3">
        <f t="shared" ref="AU3:AU66" si="17">T3</f>
        <v>105.8</v>
      </c>
      <c r="AV3">
        <f t="shared" ref="AV3:AV66" si="18">IF(OR(U3="NA",U3="-"),AVERAGE(AV4:AV5),U3)</f>
        <v>100.3</v>
      </c>
      <c r="AW3">
        <f t="shared" ref="AW3:AW66" si="19">V3</f>
        <v>105.4</v>
      </c>
      <c r="AX3">
        <f t="shared" ref="AX3:AX66" si="20">W3</f>
        <v>104.8</v>
      </c>
      <c r="AY3">
        <f t="shared" ref="AY3:AY66" si="21">X3</f>
        <v>104.1</v>
      </c>
      <c r="AZ3">
        <f t="shared" ref="AZ3:AZ66" si="22">Y3</f>
        <v>103.2</v>
      </c>
      <c r="BA3">
        <f t="shared" ref="BA3:BA66" si="23">Z3</f>
        <v>102.9</v>
      </c>
      <c r="BB3">
        <f t="shared" ref="BB3:BB66" si="24">AA3</f>
        <v>103.5</v>
      </c>
      <c r="BC3">
        <f t="shared" ref="BC3:BC66" si="25">AB3</f>
        <v>104.3</v>
      </c>
      <c r="BD3">
        <f t="shared" ref="BD3:BD66" si="26">AC3</f>
        <v>103.7</v>
      </c>
      <c r="BE3">
        <f t="shared" ref="BE3:BE66" si="27">AD3</f>
        <v>104</v>
      </c>
      <c r="BF3">
        <f t="shared" ref="BF3:BF66" si="28">SUM(AE3:AQ3)</f>
        <v>1376.4</v>
      </c>
      <c r="BG3">
        <f t="shared" ref="BG3:BG66" si="29">SUM(AS3:AU3)</f>
        <v>316.7</v>
      </c>
      <c r="BH3">
        <f t="shared" ref="BH3:BH66" si="30">SUM(AY3+BC3)</f>
        <v>208.39999999999998</v>
      </c>
      <c r="BI3">
        <f t="shared" ref="BI3:BI66" si="31">BB3+AX3+AV3</f>
        <v>308.60000000000002</v>
      </c>
      <c r="BJ3">
        <f t="shared" ref="BJ3:BJ66" si="32">SUM(AR3+BA3+BD3)</f>
        <v>311.8</v>
      </c>
      <c r="BK3">
        <f t="shared" ref="BK3:BK66" si="33">AZ3+AW3</f>
        <v>208.60000000000002</v>
      </c>
    </row>
    <row r="4" spans="1:63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1"/>
        <v>108.4</v>
      </c>
      <c r="AF4">
        <f t="shared" si="2"/>
        <v>107.3</v>
      </c>
      <c r="AG4">
        <f t="shared" si="3"/>
        <v>110</v>
      </c>
      <c r="AH4">
        <f t="shared" si="4"/>
        <v>104.4</v>
      </c>
      <c r="AI4">
        <f t="shared" si="5"/>
        <v>105.1</v>
      </c>
      <c r="AJ4">
        <f t="shared" si="6"/>
        <v>103.2</v>
      </c>
      <c r="AK4">
        <f t="shared" si="7"/>
        <v>102.2</v>
      </c>
      <c r="AL4">
        <f t="shared" si="8"/>
        <v>106</v>
      </c>
      <c r="AM4">
        <f t="shared" si="9"/>
        <v>106.2</v>
      </c>
      <c r="AN4">
        <f t="shared" si="10"/>
        <v>102.7</v>
      </c>
      <c r="AO4">
        <f t="shared" si="11"/>
        <v>104.9</v>
      </c>
      <c r="AP4">
        <f t="shared" si="12"/>
        <v>107.3</v>
      </c>
      <c r="AQ4">
        <f t="shared" si="13"/>
        <v>105.6</v>
      </c>
      <c r="AR4">
        <f t="shared" si="14"/>
        <v>105.1</v>
      </c>
      <c r="AS4">
        <f t="shared" si="15"/>
        <v>106.3</v>
      </c>
      <c r="AT4">
        <f t="shared" si="16"/>
        <v>105.5</v>
      </c>
      <c r="AU4">
        <f t="shared" si="17"/>
        <v>106.2</v>
      </c>
      <c r="AV4">
        <f t="shared" si="18"/>
        <v>100.3</v>
      </c>
      <c r="AW4">
        <f t="shared" si="19"/>
        <v>105.5</v>
      </c>
      <c r="AX4">
        <f t="shared" si="20"/>
        <v>104.8</v>
      </c>
      <c r="AY4">
        <f t="shared" si="21"/>
        <v>104</v>
      </c>
      <c r="AZ4">
        <f t="shared" si="22"/>
        <v>103.2</v>
      </c>
      <c r="BA4">
        <f t="shared" si="23"/>
        <v>103.1</v>
      </c>
      <c r="BB4">
        <f t="shared" si="24"/>
        <v>103.6</v>
      </c>
      <c r="BC4">
        <f t="shared" si="25"/>
        <v>104.5</v>
      </c>
      <c r="BD4">
        <f t="shared" si="26"/>
        <v>103.9</v>
      </c>
      <c r="BE4">
        <f t="shared" si="27"/>
        <v>104.6</v>
      </c>
      <c r="BF4">
        <f t="shared" si="28"/>
        <v>1373.3000000000002</v>
      </c>
      <c r="BG4">
        <f t="shared" si="29"/>
        <v>318</v>
      </c>
      <c r="BH4">
        <f t="shared" si="30"/>
        <v>208.5</v>
      </c>
      <c r="BI4">
        <f t="shared" si="31"/>
        <v>308.7</v>
      </c>
      <c r="BJ4">
        <f t="shared" si="32"/>
        <v>312.10000000000002</v>
      </c>
      <c r="BK4">
        <f t="shared" si="33"/>
        <v>208.7</v>
      </c>
    </row>
    <row r="5" spans="1:63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1"/>
        <v>109.2</v>
      </c>
      <c r="AF5">
        <f t="shared" si="2"/>
        <v>108.7</v>
      </c>
      <c r="AG5">
        <f t="shared" si="3"/>
        <v>110.2</v>
      </c>
      <c r="AH5">
        <f t="shared" si="4"/>
        <v>105.4</v>
      </c>
      <c r="AI5">
        <f t="shared" si="5"/>
        <v>106.7</v>
      </c>
      <c r="AJ5">
        <f t="shared" si="6"/>
        <v>104</v>
      </c>
      <c r="AK5">
        <f t="shared" si="7"/>
        <v>102.4</v>
      </c>
      <c r="AL5">
        <f t="shared" si="8"/>
        <v>105.9</v>
      </c>
      <c r="AM5">
        <f t="shared" si="9"/>
        <v>105.7</v>
      </c>
      <c r="AN5">
        <f t="shared" si="10"/>
        <v>103.1</v>
      </c>
      <c r="AO5">
        <f t="shared" si="11"/>
        <v>105.1</v>
      </c>
      <c r="AP5">
        <f t="shared" si="12"/>
        <v>107.7</v>
      </c>
      <c r="AQ5">
        <f t="shared" si="13"/>
        <v>106.3</v>
      </c>
      <c r="AR5">
        <f t="shared" si="14"/>
        <v>105.6</v>
      </c>
      <c r="AS5">
        <f t="shared" si="15"/>
        <v>107.1</v>
      </c>
      <c r="AT5">
        <f t="shared" si="16"/>
        <v>106.3</v>
      </c>
      <c r="AU5">
        <f t="shared" si="17"/>
        <v>107</v>
      </c>
      <c r="AV5">
        <f t="shared" si="18"/>
        <v>100.4</v>
      </c>
      <c r="AW5">
        <f t="shared" si="19"/>
        <v>106.2</v>
      </c>
      <c r="AX5">
        <f t="shared" si="20"/>
        <v>105.2</v>
      </c>
      <c r="AY5">
        <f t="shared" si="21"/>
        <v>104.4</v>
      </c>
      <c r="AZ5">
        <f t="shared" si="22"/>
        <v>103.9</v>
      </c>
      <c r="BA5">
        <f t="shared" si="23"/>
        <v>104</v>
      </c>
      <c r="BB5">
        <f t="shared" si="24"/>
        <v>104.1</v>
      </c>
      <c r="BC5">
        <f t="shared" si="25"/>
        <v>104.6</v>
      </c>
      <c r="BD5">
        <f t="shared" si="26"/>
        <v>104.4</v>
      </c>
      <c r="BE5">
        <f t="shared" si="27"/>
        <v>105.8</v>
      </c>
      <c r="BF5">
        <f t="shared" si="28"/>
        <v>1380.3999999999999</v>
      </c>
      <c r="BG5">
        <f t="shared" si="29"/>
        <v>320.39999999999998</v>
      </c>
      <c r="BH5">
        <f t="shared" si="30"/>
        <v>209</v>
      </c>
      <c r="BI5">
        <f t="shared" si="31"/>
        <v>309.70000000000005</v>
      </c>
      <c r="BJ5">
        <f t="shared" si="32"/>
        <v>314</v>
      </c>
      <c r="BK5">
        <f t="shared" si="33"/>
        <v>210.10000000000002</v>
      </c>
    </row>
    <row r="6" spans="1:63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1"/>
        <v>112.9</v>
      </c>
      <c r="AF6">
        <f t="shared" si="2"/>
        <v>112.9</v>
      </c>
      <c r="AG6">
        <f t="shared" si="3"/>
        <v>116.9</v>
      </c>
      <c r="AH6">
        <f t="shared" si="4"/>
        <v>104</v>
      </c>
      <c r="AI6">
        <f t="shared" si="5"/>
        <v>103.5</v>
      </c>
      <c r="AJ6">
        <f t="shared" si="6"/>
        <v>103.1</v>
      </c>
      <c r="AK6">
        <f t="shared" si="7"/>
        <v>104.9</v>
      </c>
      <c r="AL6">
        <f t="shared" si="8"/>
        <v>104.1</v>
      </c>
      <c r="AM6">
        <f t="shared" si="9"/>
        <v>103.8</v>
      </c>
      <c r="AN6">
        <f t="shared" si="10"/>
        <v>102.3</v>
      </c>
      <c r="AO6">
        <f t="shared" si="11"/>
        <v>106</v>
      </c>
      <c r="AP6">
        <f t="shared" si="12"/>
        <v>109</v>
      </c>
      <c r="AQ6">
        <f t="shared" si="13"/>
        <v>107.2</v>
      </c>
      <c r="AR6">
        <f t="shared" si="14"/>
        <v>106</v>
      </c>
      <c r="AS6">
        <f t="shared" si="15"/>
        <v>106.6</v>
      </c>
      <c r="AT6">
        <f t="shared" si="16"/>
        <v>105.5</v>
      </c>
      <c r="AU6">
        <f t="shared" si="17"/>
        <v>106.4</v>
      </c>
      <c r="AV6">
        <f t="shared" si="18"/>
        <v>100.4</v>
      </c>
      <c r="AW6">
        <f t="shared" si="19"/>
        <v>105.7</v>
      </c>
      <c r="AX6">
        <f t="shared" si="20"/>
        <v>105.2</v>
      </c>
      <c r="AY6">
        <f t="shared" si="21"/>
        <v>104.7</v>
      </c>
      <c r="AZ6">
        <f t="shared" si="22"/>
        <v>104.4</v>
      </c>
      <c r="BA6">
        <f t="shared" si="23"/>
        <v>103.3</v>
      </c>
      <c r="BB6">
        <f t="shared" si="24"/>
        <v>103.7</v>
      </c>
      <c r="BC6">
        <f t="shared" si="25"/>
        <v>104.3</v>
      </c>
      <c r="BD6">
        <f t="shared" si="26"/>
        <v>104.3</v>
      </c>
      <c r="BE6">
        <f t="shared" si="27"/>
        <v>104.7</v>
      </c>
      <c r="BF6">
        <f t="shared" si="28"/>
        <v>1390.6000000000001</v>
      </c>
      <c r="BG6">
        <f t="shared" si="29"/>
        <v>318.5</v>
      </c>
      <c r="BH6">
        <f t="shared" si="30"/>
        <v>209</v>
      </c>
      <c r="BI6">
        <f t="shared" si="31"/>
        <v>309.3</v>
      </c>
      <c r="BJ6">
        <f t="shared" si="32"/>
        <v>313.60000000000002</v>
      </c>
      <c r="BK6">
        <f t="shared" si="33"/>
        <v>210.10000000000002</v>
      </c>
    </row>
    <row r="7" spans="1:63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1"/>
        <v>110.4</v>
      </c>
      <c r="AF7">
        <f t="shared" si="2"/>
        <v>110.2</v>
      </c>
      <c r="AG7">
        <f t="shared" si="3"/>
        <v>112.8</v>
      </c>
      <c r="AH7">
        <f t="shared" si="4"/>
        <v>104.9</v>
      </c>
      <c r="AI7">
        <f t="shared" si="5"/>
        <v>105.5</v>
      </c>
      <c r="AJ7">
        <f t="shared" si="6"/>
        <v>103.6</v>
      </c>
      <c r="AK7">
        <f t="shared" si="7"/>
        <v>103.2</v>
      </c>
      <c r="AL7">
        <f t="shared" si="8"/>
        <v>105.3</v>
      </c>
      <c r="AM7">
        <f t="shared" si="9"/>
        <v>105.1</v>
      </c>
      <c r="AN7">
        <f t="shared" si="10"/>
        <v>102.8</v>
      </c>
      <c r="AO7">
        <f t="shared" si="11"/>
        <v>105.5</v>
      </c>
      <c r="AP7">
        <f t="shared" si="12"/>
        <v>108.3</v>
      </c>
      <c r="AQ7">
        <f t="shared" si="13"/>
        <v>106.6</v>
      </c>
      <c r="AR7">
        <f t="shared" si="14"/>
        <v>105.7</v>
      </c>
      <c r="AS7">
        <f t="shared" si="15"/>
        <v>106.9</v>
      </c>
      <c r="AT7">
        <f t="shared" si="16"/>
        <v>106</v>
      </c>
      <c r="AU7">
        <f t="shared" si="17"/>
        <v>106.8</v>
      </c>
      <c r="AV7">
        <f t="shared" si="18"/>
        <v>100.4</v>
      </c>
      <c r="AW7">
        <f t="shared" si="19"/>
        <v>106</v>
      </c>
      <c r="AX7">
        <f t="shared" si="20"/>
        <v>105.2</v>
      </c>
      <c r="AY7">
        <f t="shared" si="21"/>
        <v>104.5</v>
      </c>
      <c r="AZ7">
        <f t="shared" si="22"/>
        <v>104.2</v>
      </c>
      <c r="BA7">
        <f t="shared" si="23"/>
        <v>103.6</v>
      </c>
      <c r="BB7">
        <f t="shared" si="24"/>
        <v>103.9</v>
      </c>
      <c r="BC7">
        <f t="shared" si="25"/>
        <v>104.5</v>
      </c>
      <c r="BD7">
        <f t="shared" si="26"/>
        <v>104.4</v>
      </c>
      <c r="BE7">
        <f t="shared" si="27"/>
        <v>105.3</v>
      </c>
      <c r="BF7">
        <f t="shared" si="28"/>
        <v>1384.2</v>
      </c>
      <c r="BG7">
        <f t="shared" si="29"/>
        <v>319.7</v>
      </c>
      <c r="BH7">
        <f t="shared" si="30"/>
        <v>209</v>
      </c>
      <c r="BI7">
        <f t="shared" si="31"/>
        <v>309.5</v>
      </c>
      <c r="BJ7">
        <f t="shared" si="32"/>
        <v>313.70000000000005</v>
      </c>
      <c r="BK7">
        <f t="shared" si="33"/>
        <v>210.2</v>
      </c>
    </row>
    <row r="8" spans="1:63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1"/>
        <v>110.2</v>
      </c>
      <c r="AF8">
        <f t="shared" si="2"/>
        <v>108.8</v>
      </c>
      <c r="AG8">
        <f t="shared" si="3"/>
        <v>109.9</v>
      </c>
      <c r="AH8">
        <f t="shared" si="4"/>
        <v>105.6</v>
      </c>
      <c r="AI8">
        <f t="shared" si="5"/>
        <v>106.2</v>
      </c>
      <c r="AJ8">
        <f t="shared" si="6"/>
        <v>105.7</v>
      </c>
      <c r="AK8">
        <f t="shared" si="7"/>
        <v>101.4</v>
      </c>
      <c r="AL8">
        <f t="shared" si="8"/>
        <v>105.7</v>
      </c>
      <c r="AM8">
        <f t="shared" si="9"/>
        <v>105</v>
      </c>
      <c r="AN8">
        <f t="shared" si="10"/>
        <v>103.3</v>
      </c>
      <c r="AO8">
        <f t="shared" si="11"/>
        <v>105.6</v>
      </c>
      <c r="AP8">
        <f t="shared" si="12"/>
        <v>108.2</v>
      </c>
      <c r="AQ8">
        <f t="shared" si="13"/>
        <v>106.6</v>
      </c>
      <c r="AR8">
        <f t="shared" si="14"/>
        <v>106.5</v>
      </c>
      <c r="AS8">
        <f t="shared" si="15"/>
        <v>107.6</v>
      </c>
      <c r="AT8">
        <f t="shared" si="16"/>
        <v>106.8</v>
      </c>
      <c r="AU8">
        <f t="shared" si="17"/>
        <v>107.5</v>
      </c>
      <c r="AV8">
        <f t="shared" si="18"/>
        <v>100.4</v>
      </c>
      <c r="AW8">
        <f t="shared" si="19"/>
        <v>106.1</v>
      </c>
      <c r="AX8">
        <f t="shared" si="20"/>
        <v>105.6</v>
      </c>
      <c r="AY8">
        <f t="shared" si="21"/>
        <v>104.7</v>
      </c>
      <c r="AZ8">
        <f t="shared" si="22"/>
        <v>104.6</v>
      </c>
      <c r="BA8">
        <f t="shared" si="23"/>
        <v>104</v>
      </c>
      <c r="BB8">
        <f t="shared" si="24"/>
        <v>104.3</v>
      </c>
      <c r="BC8">
        <f t="shared" si="25"/>
        <v>104.3</v>
      </c>
      <c r="BD8">
        <f t="shared" si="26"/>
        <v>104.6</v>
      </c>
      <c r="BE8">
        <f t="shared" si="27"/>
        <v>106</v>
      </c>
      <c r="BF8">
        <f t="shared" si="28"/>
        <v>1382.2</v>
      </c>
      <c r="BG8">
        <f t="shared" si="29"/>
        <v>321.89999999999998</v>
      </c>
      <c r="BH8">
        <f t="shared" si="30"/>
        <v>209</v>
      </c>
      <c r="BI8">
        <f t="shared" si="31"/>
        <v>310.29999999999995</v>
      </c>
      <c r="BJ8">
        <f t="shared" si="32"/>
        <v>315.10000000000002</v>
      </c>
      <c r="BK8">
        <f t="shared" si="33"/>
        <v>210.7</v>
      </c>
    </row>
    <row r="9" spans="1:63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1"/>
        <v>113.9</v>
      </c>
      <c r="AF9">
        <f t="shared" si="2"/>
        <v>111.4</v>
      </c>
      <c r="AG9">
        <f t="shared" si="3"/>
        <v>113.2</v>
      </c>
      <c r="AH9">
        <f t="shared" si="4"/>
        <v>104.3</v>
      </c>
      <c r="AI9">
        <f t="shared" si="5"/>
        <v>102.7</v>
      </c>
      <c r="AJ9">
        <f t="shared" si="6"/>
        <v>104.9</v>
      </c>
      <c r="AK9">
        <f t="shared" si="7"/>
        <v>103.8</v>
      </c>
      <c r="AL9">
        <f t="shared" si="8"/>
        <v>103.5</v>
      </c>
      <c r="AM9">
        <f t="shared" si="9"/>
        <v>102.6</v>
      </c>
      <c r="AN9">
        <f t="shared" si="10"/>
        <v>102.4</v>
      </c>
      <c r="AO9">
        <f t="shared" si="11"/>
        <v>107</v>
      </c>
      <c r="AP9">
        <f t="shared" si="12"/>
        <v>109.8</v>
      </c>
      <c r="AQ9">
        <f t="shared" si="13"/>
        <v>107.3</v>
      </c>
      <c r="AR9">
        <f t="shared" si="14"/>
        <v>106.8</v>
      </c>
      <c r="AS9">
        <f t="shared" si="15"/>
        <v>107.2</v>
      </c>
      <c r="AT9">
        <f t="shared" si="16"/>
        <v>106</v>
      </c>
      <c r="AU9">
        <f t="shared" si="17"/>
        <v>107</v>
      </c>
      <c r="AV9">
        <f t="shared" si="18"/>
        <v>100.4</v>
      </c>
      <c r="AW9">
        <f t="shared" si="19"/>
        <v>106</v>
      </c>
      <c r="AX9">
        <f t="shared" si="20"/>
        <v>105.7</v>
      </c>
      <c r="AY9">
        <f t="shared" si="21"/>
        <v>105.2</v>
      </c>
      <c r="AZ9">
        <f t="shared" si="22"/>
        <v>105.5</v>
      </c>
      <c r="BA9">
        <f t="shared" si="23"/>
        <v>103.5</v>
      </c>
      <c r="BB9">
        <f t="shared" si="24"/>
        <v>103.8</v>
      </c>
      <c r="BC9">
        <f t="shared" si="25"/>
        <v>104.2</v>
      </c>
      <c r="BD9">
        <f t="shared" si="26"/>
        <v>104.9</v>
      </c>
      <c r="BE9">
        <f t="shared" si="27"/>
        <v>105</v>
      </c>
      <c r="BF9">
        <f t="shared" si="28"/>
        <v>1386.8</v>
      </c>
      <c r="BG9">
        <f t="shared" si="29"/>
        <v>320.2</v>
      </c>
      <c r="BH9">
        <f t="shared" si="30"/>
        <v>209.4</v>
      </c>
      <c r="BI9">
        <f t="shared" si="31"/>
        <v>309.89999999999998</v>
      </c>
      <c r="BJ9">
        <f t="shared" si="32"/>
        <v>315.20000000000005</v>
      </c>
      <c r="BK9">
        <f t="shared" si="33"/>
        <v>211.5</v>
      </c>
    </row>
    <row r="10" spans="1:63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1"/>
        <v>111.4</v>
      </c>
      <c r="AF10">
        <f t="shared" si="2"/>
        <v>109.7</v>
      </c>
      <c r="AG10">
        <f t="shared" si="3"/>
        <v>111.2</v>
      </c>
      <c r="AH10">
        <f t="shared" si="4"/>
        <v>105.1</v>
      </c>
      <c r="AI10">
        <f t="shared" si="5"/>
        <v>104.9</v>
      </c>
      <c r="AJ10">
        <f t="shared" si="6"/>
        <v>105.3</v>
      </c>
      <c r="AK10">
        <f t="shared" si="7"/>
        <v>102.2</v>
      </c>
      <c r="AL10">
        <f t="shared" si="8"/>
        <v>105</v>
      </c>
      <c r="AM10">
        <f t="shared" si="9"/>
        <v>104.2</v>
      </c>
      <c r="AN10">
        <f t="shared" si="10"/>
        <v>103</v>
      </c>
      <c r="AO10">
        <f t="shared" si="11"/>
        <v>106.2</v>
      </c>
      <c r="AP10">
        <f t="shared" si="12"/>
        <v>108.9</v>
      </c>
      <c r="AQ10">
        <f t="shared" si="13"/>
        <v>106.9</v>
      </c>
      <c r="AR10">
        <f t="shared" si="14"/>
        <v>106.6</v>
      </c>
      <c r="AS10">
        <f t="shared" si="15"/>
        <v>107.4</v>
      </c>
      <c r="AT10">
        <f t="shared" si="16"/>
        <v>106.5</v>
      </c>
      <c r="AU10">
        <f t="shared" si="17"/>
        <v>107.3</v>
      </c>
      <c r="AV10">
        <f t="shared" si="18"/>
        <v>100.4</v>
      </c>
      <c r="AW10">
        <f t="shared" si="19"/>
        <v>106.1</v>
      </c>
      <c r="AX10">
        <f t="shared" si="20"/>
        <v>105.6</v>
      </c>
      <c r="AY10">
        <f t="shared" si="21"/>
        <v>104.9</v>
      </c>
      <c r="AZ10">
        <f t="shared" si="22"/>
        <v>105.1</v>
      </c>
      <c r="BA10">
        <f t="shared" si="23"/>
        <v>103.7</v>
      </c>
      <c r="BB10">
        <f t="shared" si="24"/>
        <v>104</v>
      </c>
      <c r="BC10">
        <f t="shared" si="25"/>
        <v>104.3</v>
      </c>
      <c r="BD10">
        <f t="shared" si="26"/>
        <v>104.7</v>
      </c>
      <c r="BE10">
        <f t="shared" si="27"/>
        <v>105.5</v>
      </c>
      <c r="BF10">
        <f t="shared" si="28"/>
        <v>1384.0000000000002</v>
      </c>
      <c r="BG10">
        <f t="shared" si="29"/>
        <v>321.2</v>
      </c>
      <c r="BH10">
        <f t="shared" si="30"/>
        <v>209.2</v>
      </c>
      <c r="BI10">
        <f t="shared" si="31"/>
        <v>310</v>
      </c>
      <c r="BJ10">
        <f t="shared" si="32"/>
        <v>315</v>
      </c>
      <c r="BK10">
        <f t="shared" si="33"/>
        <v>211.2</v>
      </c>
    </row>
    <row r="11" spans="1:63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1"/>
        <v>110.2</v>
      </c>
      <c r="AF11">
        <f t="shared" si="2"/>
        <v>109.5</v>
      </c>
      <c r="AG11">
        <f t="shared" si="3"/>
        <v>106.9</v>
      </c>
      <c r="AH11">
        <f t="shared" si="4"/>
        <v>106.3</v>
      </c>
      <c r="AI11">
        <f t="shared" si="5"/>
        <v>105.7</v>
      </c>
      <c r="AJ11">
        <f t="shared" si="6"/>
        <v>108.3</v>
      </c>
      <c r="AK11">
        <f t="shared" si="7"/>
        <v>103.4</v>
      </c>
      <c r="AL11">
        <f t="shared" si="8"/>
        <v>105.7</v>
      </c>
      <c r="AM11">
        <f t="shared" si="9"/>
        <v>104.2</v>
      </c>
      <c r="AN11">
        <f t="shared" si="10"/>
        <v>103.2</v>
      </c>
      <c r="AO11">
        <f t="shared" si="11"/>
        <v>106.5</v>
      </c>
      <c r="AP11">
        <f t="shared" si="12"/>
        <v>108.8</v>
      </c>
      <c r="AQ11">
        <f t="shared" si="13"/>
        <v>107.1</v>
      </c>
      <c r="AR11">
        <f t="shared" si="14"/>
        <v>107.1</v>
      </c>
      <c r="AS11">
        <f t="shared" si="15"/>
        <v>108.1</v>
      </c>
      <c r="AT11">
        <f t="shared" si="16"/>
        <v>107.4</v>
      </c>
      <c r="AU11">
        <f t="shared" si="17"/>
        <v>108</v>
      </c>
      <c r="AV11">
        <f t="shared" si="18"/>
        <v>100.5</v>
      </c>
      <c r="AW11">
        <f t="shared" si="19"/>
        <v>106.5</v>
      </c>
      <c r="AX11">
        <f t="shared" si="20"/>
        <v>106.1</v>
      </c>
      <c r="AY11">
        <f t="shared" si="21"/>
        <v>105.1</v>
      </c>
      <c r="AZ11">
        <f t="shared" si="22"/>
        <v>104.4</v>
      </c>
      <c r="BA11">
        <f t="shared" si="23"/>
        <v>104.5</v>
      </c>
      <c r="BB11">
        <f t="shared" si="24"/>
        <v>104.8</v>
      </c>
      <c r="BC11">
        <f t="shared" si="25"/>
        <v>102.7</v>
      </c>
      <c r="BD11">
        <f t="shared" si="26"/>
        <v>104.6</v>
      </c>
      <c r="BE11">
        <f t="shared" si="27"/>
        <v>106.4</v>
      </c>
      <c r="BF11">
        <f t="shared" si="28"/>
        <v>1385.8</v>
      </c>
      <c r="BG11">
        <f t="shared" si="29"/>
        <v>323.5</v>
      </c>
      <c r="BH11">
        <f t="shared" si="30"/>
        <v>207.8</v>
      </c>
      <c r="BI11">
        <f t="shared" si="31"/>
        <v>311.39999999999998</v>
      </c>
      <c r="BJ11">
        <f t="shared" si="32"/>
        <v>316.2</v>
      </c>
      <c r="BK11">
        <f t="shared" si="33"/>
        <v>210.9</v>
      </c>
    </row>
    <row r="12" spans="1:63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1"/>
        <v>114.6</v>
      </c>
      <c r="AF12">
        <f t="shared" si="2"/>
        <v>113.4</v>
      </c>
      <c r="AG12">
        <f t="shared" si="3"/>
        <v>106</v>
      </c>
      <c r="AH12">
        <f t="shared" si="4"/>
        <v>104.7</v>
      </c>
      <c r="AI12">
        <f t="shared" si="5"/>
        <v>102.1</v>
      </c>
      <c r="AJ12">
        <f t="shared" si="6"/>
        <v>109.5</v>
      </c>
      <c r="AK12">
        <f t="shared" si="7"/>
        <v>109.7</v>
      </c>
      <c r="AL12">
        <f t="shared" si="8"/>
        <v>104.6</v>
      </c>
      <c r="AM12">
        <f t="shared" si="9"/>
        <v>102</v>
      </c>
      <c r="AN12">
        <f t="shared" si="10"/>
        <v>103.5</v>
      </c>
      <c r="AO12">
        <f t="shared" si="11"/>
        <v>108.2</v>
      </c>
      <c r="AP12">
        <f t="shared" si="12"/>
        <v>110.6</v>
      </c>
      <c r="AQ12">
        <f t="shared" si="13"/>
        <v>108.8</v>
      </c>
      <c r="AR12">
        <f t="shared" si="14"/>
        <v>108.5</v>
      </c>
      <c r="AS12">
        <f t="shared" si="15"/>
        <v>107.9</v>
      </c>
      <c r="AT12">
        <f t="shared" si="16"/>
        <v>106.4</v>
      </c>
      <c r="AU12">
        <f t="shared" si="17"/>
        <v>107.7</v>
      </c>
      <c r="AV12">
        <f t="shared" si="18"/>
        <v>100.5</v>
      </c>
      <c r="AW12">
        <f t="shared" si="19"/>
        <v>106.4</v>
      </c>
      <c r="AX12">
        <f t="shared" si="20"/>
        <v>106.5</v>
      </c>
      <c r="AY12">
        <f t="shared" si="21"/>
        <v>105.7</v>
      </c>
      <c r="AZ12">
        <f t="shared" si="22"/>
        <v>105</v>
      </c>
      <c r="BA12">
        <f t="shared" si="23"/>
        <v>104</v>
      </c>
      <c r="BB12">
        <f t="shared" si="24"/>
        <v>105.2</v>
      </c>
      <c r="BC12">
        <f t="shared" si="25"/>
        <v>103.2</v>
      </c>
      <c r="BD12">
        <f t="shared" si="26"/>
        <v>105.1</v>
      </c>
      <c r="BE12">
        <f t="shared" si="27"/>
        <v>105.7</v>
      </c>
      <c r="BF12">
        <f t="shared" si="28"/>
        <v>1397.6999999999998</v>
      </c>
      <c r="BG12">
        <f t="shared" si="29"/>
        <v>322</v>
      </c>
      <c r="BH12">
        <f t="shared" si="30"/>
        <v>208.9</v>
      </c>
      <c r="BI12">
        <f t="shared" si="31"/>
        <v>312.2</v>
      </c>
      <c r="BJ12">
        <f t="shared" si="32"/>
        <v>317.60000000000002</v>
      </c>
      <c r="BK12">
        <f t="shared" si="33"/>
        <v>211.4</v>
      </c>
    </row>
    <row r="13" spans="1:63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1"/>
        <v>111.6</v>
      </c>
      <c r="AF13">
        <f t="shared" si="2"/>
        <v>110.9</v>
      </c>
      <c r="AG13">
        <f t="shared" si="3"/>
        <v>106.6</v>
      </c>
      <c r="AH13">
        <f t="shared" si="4"/>
        <v>105.7</v>
      </c>
      <c r="AI13">
        <f t="shared" si="5"/>
        <v>104.4</v>
      </c>
      <c r="AJ13">
        <f t="shared" si="6"/>
        <v>108.9</v>
      </c>
      <c r="AK13">
        <f t="shared" si="7"/>
        <v>105.5</v>
      </c>
      <c r="AL13">
        <f t="shared" si="8"/>
        <v>105.3</v>
      </c>
      <c r="AM13">
        <f t="shared" si="9"/>
        <v>103.5</v>
      </c>
      <c r="AN13">
        <f t="shared" si="10"/>
        <v>103.3</v>
      </c>
      <c r="AO13">
        <f t="shared" si="11"/>
        <v>107.2</v>
      </c>
      <c r="AP13">
        <f t="shared" si="12"/>
        <v>109.6</v>
      </c>
      <c r="AQ13">
        <f t="shared" si="13"/>
        <v>107.7</v>
      </c>
      <c r="AR13">
        <f t="shared" si="14"/>
        <v>107.5</v>
      </c>
      <c r="AS13">
        <f t="shared" si="15"/>
        <v>108</v>
      </c>
      <c r="AT13">
        <f t="shared" si="16"/>
        <v>107</v>
      </c>
      <c r="AU13">
        <f t="shared" si="17"/>
        <v>107.9</v>
      </c>
      <c r="AV13">
        <f t="shared" si="18"/>
        <v>100.5</v>
      </c>
      <c r="AW13">
        <f t="shared" si="19"/>
        <v>106.5</v>
      </c>
      <c r="AX13">
        <f t="shared" si="20"/>
        <v>106.3</v>
      </c>
      <c r="AY13">
        <f t="shared" si="21"/>
        <v>105.3</v>
      </c>
      <c r="AZ13">
        <f t="shared" si="22"/>
        <v>104.7</v>
      </c>
      <c r="BA13">
        <f t="shared" si="23"/>
        <v>104.2</v>
      </c>
      <c r="BB13">
        <f t="shared" si="24"/>
        <v>105</v>
      </c>
      <c r="BC13">
        <f t="shared" si="25"/>
        <v>102.9</v>
      </c>
      <c r="BD13">
        <f t="shared" si="26"/>
        <v>104.8</v>
      </c>
      <c r="BE13">
        <f t="shared" si="27"/>
        <v>106.1</v>
      </c>
      <c r="BF13">
        <f t="shared" si="28"/>
        <v>1390.2</v>
      </c>
      <c r="BG13">
        <f t="shared" si="29"/>
        <v>322.89999999999998</v>
      </c>
      <c r="BH13">
        <f t="shared" si="30"/>
        <v>208.2</v>
      </c>
      <c r="BI13">
        <f t="shared" si="31"/>
        <v>311.8</v>
      </c>
      <c r="BJ13">
        <f t="shared" si="32"/>
        <v>316.5</v>
      </c>
      <c r="BK13">
        <f t="shared" si="33"/>
        <v>211.2</v>
      </c>
    </row>
    <row r="14" spans="1:63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1"/>
        <v>110.9</v>
      </c>
      <c r="AF14">
        <f t="shared" si="2"/>
        <v>109.8</v>
      </c>
      <c r="AG14">
        <f t="shared" si="3"/>
        <v>105.9</v>
      </c>
      <c r="AH14">
        <f t="shared" si="4"/>
        <v>107.5</v>
      </c>
      <c r="AI14">
        <f t="shared" si="5"/>
        <v>105.3</v>
      </c>
      <c r="AJ14">
        <f t="shared" si="6"/>
        <v>108.1</v>
      </c>
      <c r="AK14">
        <f t="shared" si="7"/>
        <v>107.3</v>
      </c>
      <c r="AL14">
        <f t="shared" si="8"/>
        <v>106.1</v>
      </c>
      <c r="AM14">
        <f t="shared" si="9"/>
        <v>103.7</v>
      </c>
      <c r="AN14">
        <f t="shared" si="10"/>
        <v>104</v>
      </c>
      <c r="AO14">
        <f t="shared" si="11"/>
        <v>107.4</v>
      </c>
      <c r="AP14">
        <f t="shared" si="12"/>
        <v>109.9</v>
      </c>
      <c r="AQ14">
        <f t="shared" si="13"/>
        <v>108.1</v>
      </c>
      <c r="AR14">
        <f t="shared" si="14"/>
        <v>108.1</v>
      </c>
      <c r="AS14">
        <f t="shared" si="15"/>
        <v>108.8</v>
      </c>
      <c r="AT14">
        <f t="shared" si="16"/>
        <v>107.9</v>
      </c>
      <c r="AU14">
        <f t="shared" si="17"/>
        <v>108.6</v>
      </c>
      <c r="AV14">
        <f t="shared" si="18"/>
        <v>100.5</v>
      </c>
      <c r="AW14">
        <f t="shared" si="19"/>
        <v>107.5</v>
      </c>
      <c r="AX14">
        <f t="shared" si="20"/>
        <v>106.8</v>
      </c>
      <c r="AY14">
        <f t="shared" si="21"/>
        <v>105.7</v>
      </c>
      <c r="AZ14">
        <f t="shared" si="22"/>
        <v>104.1</v>
      </c>
      <c r="BA14">
        <f t="shared" si="23"/>
        <v>105</v>
      </c>
      <c r="BB14">
        <f t="shared" si="24"/>
        <v>105.5</v>
      </c>
      <c r="BC14">
        <f t="shared" si="25"/>
        <v>102.1</v>
      </c>
      <c r="BD14">
        <f t="shared" si="26"/>
        <v>104.8</v>
      </c>
      <c r="BE14">
        <f t="shared" si="27"/>
        <v>107.2</v>
      </c>
      <c r="BF14">
        <f t="shared" si="28"/>
        <v>1394</v>
      </c>
      <c r="BG14">
        <f t="shared" si="29"/>
        <v>325.29999999999995</v>
      </c>
      <c r="BH14">
        <f t="shared" si="30"/>
        <v>207.8</v>
      </c>
      <c r="BI14">
        <f t="shared" si="31"/>
        <v>312.8</v>
      </c>
      <c r="BJ14">
        <f t="shared" si="32"/>
        <v>317.89999999999998</v>
      </c>
      <c r="BK14">
        <f t="shared" si="33"/>
        <v>211.6</v>
      </c>
    </row>
    <row r="15" spans="1:63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1"/>
        <v>115.4</v>
      </c>
      <c r="AF15">
        <f t="shared" si="2"/>
        <v>114.2</v>
      </c>
      <c r="AG15">
        <f t="shared" si="3"/>
        <v>102.7</v>
      </c>
      <c r="AH15">
        <f t="shared" si="4"/>
        <v>105.5</v>
      </c>
      <c r="AI15">
        <f t="shared" si="5"/>
        <v>101.5</v>
      </c>
      <c r="AJ15">
        <f t="shared" si="6"/>
        <v>110.6</v>
      </c>
      <c r="AK15">
        <f t="shared" si="7"/>
        <v>123.7</v>
      </c>
      <c r="AL15">
        <f t="shared" si="8"/>
        <v>105.2</v>
      </c>
      <c r="AM15">
        <f t="shared" si="9"/>
        <v>101.9</v>
      </c>
      <c r="AN15">
        <f t="shared" si="10"/>
        <v>105</v>
      </c>
      <c r="AO15">
        <f t="shared" si="11"/>
        <v>109.1</v>
      </c>
      <c r="AP15">
        <f t="shared" si="12"/>
        <v>111.3</v>
      </c>
      <c r="AQ15">
        <f t="shared" si="13"/>
        <v>111.1</v>
      </c>
      <c r="AR15">
        <f t="shared" si="14"/>
        <v>109.8</v>
      </c>
      <c r="AS15">
        <f t="shared" si="15"/>
        <v>108.5</v>
      </c>
      <c r="AT15">
        <f t="shared" si="16"/>
        <v>106.7</v>
      </c>
      <c r="AU15">
        <f t="shared" si="17"/>
        <v>108.3</v>
      </c>
      <c r="AV15">
        <f t="shared" si="18"/>
        <v>100.5</v>
      </c>
      <c r="AW15">
        <f t="shared" si="19"/>
        <v>107.2</v>
      </c>
      <c r="AX15">
        <f t="shared" si="20"/>
        <v>107.1</v>
      </c>
      <c r="AY15">
        <f t="shared" si="21"/>
        <v>106.2</v>
      </c>
      <c r="AZ15">
        <f t="shared" si="22"/>
        <v>103.9</v>
      </c>
      <c r="BA15">
        <f t="shared" si="23"/>
        <v>104.6</v>
      </c>
      <c r="BB15">
        <f t="shared" si="24"/>
        <v>105.7</v>
      </c>
      <c r="BC15">
        <f t="shared" si="25"/>
        <v>102.6</v>
      </c>
      <c r="BD15">
        <f t="shared" si="26"/>
        <v>104.9</v>
      </c>
      <c r="BE15">
        <f t="shared" si="27"/>
        <v>106.6</v>
      </c>
      <c r="BF15">
        <f t="shared" si="28"/>
        <v>1417.1999999999998</v>
      </c>
      <c r="BG15">
        <f t="shared" si="29"/>
        <v>323.5</v>
      </c>
      <c r="BH15">
        <f t="shared" si="30"/>
        <v>208.8</v>
      </c>
      <c r="BI15">
        <f t="shared" si="31"/>
        <v>313.3</v>
      </c>
      <c r="BJ15">
        <f t="shared" si="32"/>
        <v>319.29999999999995</v>
      </c>
      <c r="BK15">
        <f t="shared" si="33"/>
        <v>211.10000000000002</v>
      </c>
    </row>
    <row r="16" spans="1:63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1"/>
        <v>112.3</v>
      </c>
      <c r="AF16">
        <f t="shared" si="2"/>
        <v>111.3</v>
      </c>
      <c r="AG16">
        <f t="shared" si="3"/>
        <v>104.7</v>
      </c>
      <c r="AH16">
        <f t="shared" si="4"/>
        <v>106.8</v>
      </c>
      <c r="AI16">
        <f t="shared" si="5"/>
        <v>103.9</v>
      </c>
      <c r="AJ16">
        <f t="shared" si="6"/>
        <v>109.3</v>
      </c>
      <c r="AK16">
        <f t="shared" si="7"/>
        <v>112.9</v>
      </c>
      <c r="AL16">
        <f t="shared" si="8"/>
        <v>105.8</v>
      </c>
      <c r="AM16">
        <f t="shared" si="9"/>
        <v>103.1</v>
      </c>
      <c r="AN16">
        <f t="shared" si="10"/>
        <v>104.3</v>
      </c>
      <c r="AO16">
        <f t="shared" si="11"/>
        <v>108.1</v>
      </c>
      <c r="AP16">
        <f t="shared" si="12"/>
        <v>110.5</v>
      </c>
      <c r="AQ16">
        <f t="shared" si="13"/>
        <v>109.2</v>
      </c>
      <c r="AR16">
        <f t="shared" si="14"/>
        <v>108.6</v>
      </c>
      <c r="AS16">
        <f t="shared" si="15"/>
        <v>108.7</v>
      </c>
      <c r="AT16">
        <f t="shared" si="16"/>
        <v>107.4</v>
      </c>
      <c r="AU16">
        <f t="shared" si="17"/>
        <v>108.5</v>
      </c>
      <c r="AV16">
        <f t="shared" si="18"/>
        <v>100.5</v>
      </c>
      <c r="AW16">
        <f t="shared" si="19"/>
        <v>107.4</v>
      </c>
      <c r="AX16">
        <f t="shared" si="20"/>
        <v>106.9</v>
      </c>
      <c r="AY16">
        <f t="shared" si="21"/>
        <v>105.9</v>
      </c>
      <c r="AZ16">
        <f t="shared" si="22"/>
        <v>104</v>
      </c>
      <c r="BA16">
        <f t="shared" si="23"/>
        <v>104.8</v>
      </c>
      <c r="BB16">
        <f t="shared" si="24"/>
        <v>105.6</v>
      </c>
      <c r="BC16">
        <f t="shared" si="25"/>
        <v>102.3</v>
      </c>
      <c r="BD16">
        <f t="shared" si="26"/>
        <v>104.8</v>
      </c>
      <c r="BE16">
        <f t="shared" si="27"/>
        <v>106.9</v>
      </c>
      <c r="BF16">
        <f t="shared" si="28"/>
        <v>1402.1999999999998</v>
      </c>
      <c r="BG16">
        <f t="shared" si="29"/>
        <v>324.60000000000002</v>
      </c>
      <c r="BH16">
        <f t="shared" si="30"/>
        <v>208.2</v>
      </c>
      <c r="BI16">
        <f t="shared" si="31"/>
        <v>313</v>
      </c>
      <c r="BJ16">
        <f t="shared" si="32"/>
        <v>318.2</v>
      </c>
      <c r="BK16">
        <f t="shared" si="33"/>
        <v>211.4</v>
      </c>
    </row>
    <row r="17" spans="1:63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1"/>
        <v>112.3</v>
      </c>
      <c r="AF17">
        <f t="shared" si="2"/>
        <v>112.1</v>
      </c>
      <c r="AG17">
        <f t="shared" si="3"/>
        <v>108.1</v>
      </c>
      <c r="AH17">
        <f t="shared" si="4"/>
        <v>108.3</v>
      </c>
      <c r="AI17">
        <f t="shared" si="5"/>
        <v>105.9</v>
      </c>
      <c r="AJ17">
        <f t="shared" si="6"/>
        <v>109.2</v>
      </c>
      <c r="AK17">
        <f t="shared" si="7"/>
        <v>118</v>
      </c>
      <c r="AL17">
        <f t="shared" si="8"/>
        <v>106.8</v>
      </c>
      <c r="AM17">
        <f t="shared" si="9"/>
        <v>104.1</v>
      </c>
      <c r="AN17">
        <f t="shared" si="10"/>
        <v>105.4</v>
      </c>
      <c r="AO17">
        <f t="shared" si="11"/>
        <v>108.2</v>
      </c>
      <c r="AP17">
        <f t="shared" si="12"/>
        <v>111</v>
      </c>
      <c r="AQ17">
        <f t="shared" si="13"/>
        <v>110.6</v>
      </c>
      <c r="AR17">
        <f t="shared" si="14"/>
        <v>109</v>
      </c>
      <c r="AS17">
        <f t="shared" si="15"/>
        <v>109.7</v>
      </c>
      <c r="AT17">
        <f t="shared" si="16"/>
        <v>108.8</v>
      </c>
      <c r="AU17">
        <f t="shared" si="17"/>
        <v>109.5</v>
      </c>
      <c r="AV17">
        <f t="shared" si="18"/>
        <v>106.6</v>
      </c>
      <c r="AW17">
        <f t="shared" si="19"/>
        <v>108.5</v>
      </c>
      <c r="AX17">
        <f t="shared" si="20"/>
        <v>107.5</v>
      </c>
      <c r="AY17">
        <f t="shared" si="21"/>
        <v>106.3</v>
      </c>
      <c r="AZ17">
        <f t="shared" si="22"/>
        <v>105</v>
      </c>
      <c r="BA17">
        <f t="shared" si="23"/>
        <v>105.6</v>
      </c>
      <c r="BB17">
        <f t="shared" si="24"/>
        <v>106.5</v>
      </c>
      <c r="BC17">
        <f t="shared" si="25"/>
        <v>102.5</v>
      </c>
      <c r="BD17">
        <f t="shared" si="26"/>
        <v>105.5</v>
      </c>
      <c r="BE17">
        <f t="shared" si="27"/>
        <v>108.9</v>
      </c>
      <c r="BF17">
        <f t="shared" si="28"/>
        <v>1420</v>
      </c>
      <c r="BG17">
        <f t="shared" si="29"/>
        <v>328</v>
      </c>
      <c r="BH17">
        <f t="shared" si="30"/>
        <v>208.8</v>
      </c>
      <c r="BI17">
        <f t="shared" si="31"/>
        <v>320.60000000000002</v>
      </c>
      <c r="BJ17">
        <f t="shared" si="32"/>
        <v>320.10000000000002</v>
      </c>
      <c r="BK17">
        <f t="shared" si="33"/>
        <v>213.5</v>
      </c>
    </row>
    <row r="18" spans="1:63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1"/>
        <v>117</v>
      </c>
      <c r="AF18">
        <f t="shared" si="2"/>
        <v>120.1</v>
      </c>
      <c r="AG18">
        <f t="shared" si="3"/>
        <v>112.5</v>
      </c>
      <c r="AH18">
        <f t="shared" si="4"/>
        <v>107.3</v>
      </c>
      <c r="AI18">
        <f t="shared" si="5"/>
        <v>101.3</v>
      </c>
      <c r="AJ18">
        <f t="shared" si="6"/>
        <v>112.4</v>
      </c>
      <c r="AK18">
        <f t="shared" si="7"/>
        <v>143.6</v>
      </c>
      <c r="AL18">
        <f t="shared" si="8"/>
        <v>105.4</v>
      </c>
      <c r="AM18">
        <f t="shared" si="9"/>
        <v>101.4</v>
      </c>
      <c r="AN18">
        <f t="shared" si="10"/>
        <v>106.4</v>
      </c>
      <c r="AO18">
        <f t="shared" si="11"/>
        <v>110</v>
      </c>
      <c r="AP18">
        <f t="shared" si="12"/>
        <v>112.2</v>
      </c>
      <c r="AQ18">
        <f t="shared" si="13"/>
        <v>115</v>
      </c>
      <c r="AR18">
        <f t="shared" si="14"/>
        <v>110.9</v>
      </c>
      <c r="AS18">
        <f t="shared" si="15"/>
        <v>109.2</v>
      </c>
      <c r="AT18">
        <f t="shared" si="16"/>
        <v>107.2</v>
      </c>
      <c r="AU18">
        <f t="shared" si="17"/>
        <v>108.9</v>
      </c>
      <c r="AV18">
        <f t="shared" si="18"/>
        <v>106.6</v>
      </c>
      <c r="AW18">
        <f t="shared" si="19"/>
        <v>108</v>
      </c>
      <c r="AX18">
        <f t="shared" si="20"/>
        <v>107.7</v>
      </c>
      <c r="AY18">
        <f t="shared" si="21"/>
        <v>106.5</v>
      </c>
      <c r="AZ18">
        <f t="shared" si="22"/>
        <v>105.2</v>
      </c>
      <c r="BA18">
        <f t="shared" si="23"/>
        <v>105.2</v>
      </c>
      <c r="BB18">
        <f t="shared" si="24"/>
        <v>108.1</v>
      </c>
      <c r="BC18">
        <f t="shared" si="25"/>
        <v>103.3</v>
      </c>
      <c r="BD18">
        <f t="shared" si="26"/>
        <v>106.1</v>
      </c>
      <c r="BE18">
        <f t="shared" si="27"/>
        <v>109.7</v>
      </c>
      <c r="BF18">
        <f t="shared" si="28"/>
        <v>1464.6000000000001</v>
      </c>
      <c r="BG18">
        <f t="shared" si="29"/>
        <v>325.3</v>
      </c>
      <c r="BH18">
        <f t="shared" si="30"/>
        <v>209.8</v>
      </c>
      <c r="BI18">
        <f t="shared" si="31"/>
        <v>322.39999999999998</v>
      </c>
      <c r="BJ18">
        <f t="shared" si="32"/>
        <v>322.20000000000005</v>
      </c>
      <c r="BK18">
        <f t="shared" si="33"/>
        <v>213.2</v>
      </c>
    </row>
    <row r="19" spans="1:63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1"/>
        <v>113.8</v>
      </c>
      <c r="AF19">
        <f t="shared" si="2"/>
        <v>114.9</v>
      </c>
      <c r="AG19">
        <f t="shared" si="3"/>
        <v>109.8</v>
      </c>
      <c r="AH19">
        <f t="shared" si="4"/>
        <v>107.9</v>
      </c>
      <c r="AI19">
        <f t="shared" si="5"/>
        <v>104.2</v>
      </c>
      <c r="AJ19">
        <f t="shared" si="6"/>
        <v>110.7</v>
      </c>
      <c r="AK19">
        <f t="shared" si="7"/>
        <v>126.7</v>
      </c>
      <c r="AL19">
        <f t="shared" si="8"/>
        <v>106.3</v>
      </c>
      <c r="AM19">
        <f t="shared" si="9"/>
        <v>103.2</v>
      </c>
      <c r="AN19">
        <f t="shared" si="10"/>
        <v>105.7</v>
      </c>
      <c r="AO19">
        <f t="shared" si="11"/>
        <v>109</v>
      </c>
      <c r="AP19">
        <f t="shared" si="12"/>
        <v>111.6</v>
      </c>
      <c r="AQ19">
        <f t="shared" si="13"/>
        <v>112.2</v>
      </c>
      <c r="AR19">
        <f t="shared" si="14"/>
        <v>109.5</v>
      </c>
      <c r="AS19">
        <f t="shared" si="15"/>
        <v>109.5</v>
      </c>
      <c r="AT19">
        <f t="shared" si="16"/>
        <v>108.1</v>
      </c>
      <c r="AU19">
        <f t="shared" si="17"/>
        <v>109.3</v>
      </c>
      <c r="AV19">
        <f t="shared" si="18"/>
        <v>106.6</v>
      </c>
      <c r="AW19">
        <f t="shared" si="19"/>
        <v>108.3</v>
      </c>
      <c r="AX19">
        <f t="shared" si="20"/>
        <v>107.6</v>
      </c>
      <c r="AY19">
        <f t="shared" si="21"/>
        <v>106.4</v>
      </c>
      <c r="AZ19">
        <f t="shared" si="22"/>
        <v>105.1</v>
      </c>
      <c r="BA19">
        <f t="shared" si="23"/>
        <v>105.4</v>
      </c>
      <c r="BB19">
        <f t="shared" si="24"/>
        <v>107.4</v>
      </c>
      <c r="BC19">
        <f t="shared" si="25"/>
        <v>102.8</v>
      </c>
      <c r="BD19">
        <f t="shared" si="26"/>
        <v>105.8</v>
      </c>
      <c r="BE19">
        <f t="shared" si="27"/>
        <v>109.3</v>
      </c>
      <c r="BF19">
        <f t="shared" si="28"/>
        <v>1436</v>
      </c>
      <c r="BG19">
        <f t="shared" si="29"/>
        <v>326.89999999999998</v>
      </c>
      <c r="BH19">
        <f t="shared" si="30"/>
        <v>209.2</v>
      </c>
      <c r="BI19">
        <f t="shared" si="31"/>
        <v>321.60000000000002</v>
      </c>
      <c r="BJ19">
        <f t="shared" si="32"/>
        <v>320.7</v>
      </c>
      <c r="BK19">
        <f t="shared" si="33"/>
        <v>213.39999999999998</v>
      </c>
    </row>
    <row r="20" spans="1:63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1"/>
        <v>113.4</v>
      </c>
      <c r="AF20">
        <f t="shared" si="2"/>
        <v>114.9</v>
      </c>
      <c r="AG20">
        <f t="shared" si="3"/>
        <v>110.5</v>
      </c>
      <c r="AH20">
        <f t="shared" si="4"/>
        <v>109.3</v>
      </c>
      <c r="AI20">
        <f t="shared" si="5"/>
        <v>106.2</v>
      </c>
      <c r="AJ20">
        <f t="shared" si="6"/>
        <v>110.3</v>
      </c>
      <c r="AK20">
        <f t="shared" si="7"/>
        <v>129.19999999999999</v>
      </c>
      <c r="AL20">
        <f t="shared" si="8"/>
        <v>107.1</v>
      </c>
      <c r="AM20">
        <f t="shared" si="9"/>
        <v>104.3</v>
      </c>
      <c r="AN20">
        <f t="shared" si="10"/>
        <v>106.4</v>
      </c>
      <c r="AO20">
        <f t="shared" si="11"/>
        <v>109.1</v>
      </c>
      <c r="AP20">
        <f t="shared" si="12"/>
        <v>112.1</v>
      </c>
      <c r="AQ20">
        <f t="shared" si="13"/>
        <v>113.1</v>
      </c>
      <c r="AR20">
        <f t="shared" si="14"/>
        <v>109.8</v>
      </c>
      <c r="AS20">
        <f t="shared" si="15"/>
        <v>110.5</v>
      </c>
      <c r="AT20">
        <f t="shared" si="16"/>
        <v>109.5</v>
      </c>
      <c r="AU20">
        <f t="shared" si="17"/>
        <v>110.3</v>
      </c>
      <c r="AV20">
        <f t="shared" si="18"/>
        <v>107.7</v>
      </c>
      <c r="AW20">
        <f t="shared" si="19"/>
        <v>109.5</v>
      </c>
      <c r="AX20">
        <f t="shared" si="20"/>
        <v>108.3</v>
      </c>
      <c r="AY20">
        <f t="shared" si="21"/>
        <v>106.9</v>
      </c>
      <c r="AZ20">
        <f t="shared" si="22"/>
        <v>106.8</v>
      </c>
      <c r="BA20">
        <f t="shared" si="23"/>
        <v>106.4</v>
      </c>
      <c r="BB20">
        <f t="shared" si="24"/>
        <v>107.8</v>
      </c>
      <c r="BC20">
        <f t="shared" si="25"/>
        <v>102.5</v>
      </c>
      <c r="BD20">
        <f t="shared" si="26"/>
        <v>106.5</v>
      </c>
      <c r="BE20">
        <f t="shared" si="27"/>
        <v>110.7</v>
      </c>
      <c r="BF20">
        <f t="shared" si="28"/>
        <v>1445.8999999999996</v>
      </c>
      <c r="BG20">
        <f t="shared" si="29"/>
        <v>330.3</v>
      </c>
      <c r="BH20">
        <f t="shared" si="30"/>
        <v>209.4</v>
      </c>
      <c r="BI20">
        <f t="shared" si="31"/>
        <v>323.8</v>
      </c>
      <c r="BJ20">
        <f t="shared" si="32"/>
        <v>322.7</v>
      </c>
      <c r="BK20">
        <f t="shared" si="33"/>
        <v>216.3</v>
      </c>
    </row>
    <row r="21" spans="1:63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1"/>
        <v>117.8</v>
      </c>
      <c r="AF21">
        <f t="shared" si="2"/>
        <v>119.2</v>
      </c>
      <c r="AG21">
        <f t="shared" si="3"/>
        <v>114</v>
      </c>
      <c r="AH21">
        <f t="shared" si="4"/>
        <v>108.3</v>
      </c>
      <c r="AI21">
        <f t="shared" si="5"/>
        <v>101.1</v>
      </c>
      <c r="AJ21">
        <f t="shared" si="6"/>
        <v>113.2</v>
      </c>
      <c r="AK21">
        <f t="shared" si="7"/>
        <v>160.9</v>
      </c>
      <c r="AL21">
        <f t="shared" si="8"/>
        <v>105.1</v>
      </c>
      <c r="AM21">
        <f t="shared" si="9"/>
        <v>101.3</v>
      </c>
      <c r="AN21">
        <f t="shared" si="10"/>
        <v>107.5</v>
      </c>
      <c r="AO21">
        <f t="shared" si="11"/>
        <v>110.4</v>
      </c>
      <c r="AP21">
        <f t="shared" si="12"/>
        <v>113.1</v>
      </c>
      <c r="AQ21">
        <f t="shared" si="13"/>
        <v>117.5</v>
      </c>
      <c r="AR21">
        <f t="shared" si="14"/>
        <v>111.7</v>
      </c>
      <c r="AS21">
        <f t="shared" si="15"/>
        <v>109.8</v>
      </c>
      <c r="AT21">
        <f t="shared" si="16"/>
        <v>107.8</v>
      </c>
      <c r="AU21">
        <f t="shared" si="17"/>
        <v>109.5</v>
      </c>
      <c r="AV21">
        <f t="shared" si="18"/>
        <v>107.7</v>
      </c>
      <c r="AW21">
        <f t="shared" si="19"/>
        <v>108.6</v>
      </c>
      <c r="AX21">
        <f t="shared" si="20"/>
        <v>108.1</v>
      </c>
      <c r="AY21">
        <f t="shared" si="21"/>
        <v>107.1</v>
      </c>
      <c r="AZ21">
        <f t="shared" si="22"/>
        <v>107.3</v>
      </c>
      <c r="BA21">
        <f t="shared" si="23"/>
        <v>105.9</v>
      </c>
      <c r="BB21">
        <f t="shared" si="24"/>
        <v>110.1</v>
      </c>
      <c r="BC21">
        <f t="shared" si="25"/>
        <v>103.2</v>
      </c>
      <c r="BD21">
        <f t="shared" si="26"/>
        <v>107.3</v>
      </c>
      <c r="BE21">
        <f t="shared" si="27"/>
        <v>111.4</v>
      </c>
      <c r="BF21">
        <f t="shared" si="28"/>
        <v>1489.4</v>
      </c>
      <c r="BG21">
        <f t="shared" si="29"/>
        <v>327.10000000000002</v>
      </c>
      <c r="BH21">
        <f t="shared" si="30"/>
        <v>210.3</v>
      </c>
      <c r="BI21">
        <f t="shared" si="31"/>
        <v>325.89999999999998</v>
      </c>
      <c r="BJ21">
        <f t="shared" si="32"/>
        <v>324.90000000000003</v>
      </c>
      <c r="BK21">
        <f t="shared" si="33"/>
        <v>215.89999999999998</v>
      </c>
    </row>
    <row r="22" spans="1:63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1"/>
        <v>114.8</v>
      </c>
      <c r="AF22">
        <f t="shared" si="2"/>
        <v>116.4</v>
      </c>
      <c r="AG22">
        <f t="shared" si="3"/>
        <v>111.9</v>
      </c>
      <c r="AH22">
        <f t="shared" si="4"/>
        <v>108.9</v>
      </c>
      <c r="AI22">
        <f t="shared" si="5"/>
        <v>104.3</v>
      </c>
      <c r="AJ22">
        <f t="shared" si="6"/>
        <v>111.7</v>
      </c>
      <c r="AK22">
        <f t="shared" si="7"/>
        <v>140</v>
      </c>
      <c r="AL22">
        <f t="shared" si="8"/>
        <v>106.4</v>
      </c>
      <c r="AM22">
        <f t="shared" si="9"/>
        <v>103.3</v>
      </c>
      <c r="AN22">
        <f t="shared" si="10"/>
        <v>106.8</v>
      </c>
      <c r="AO22">
        <f t="shared" si="11"/>
        <v>109.6</v>
      </c>
      <c r="AP22">
        <f t="shared" si="12"/>
        <v>112.6</v>
      </c>
      <c r="AQ22">
        <f t="shared" si="13"/>
        <v>114.7</v>
      </c>
      <c r="AR22">
        <f t="shared" si="14"/>
        <v>110.3</v>
      </c>
      <c r="AS22">
        <f t="shared" si="15"/>
        <v>110.2</v>
      </c>
      <c r="AT22">
        <f t="shared" si="16"/>
        <v>108.8</v>
      </c>
      <c r="AU22">
        <f t="shared" si="17"/>
        <v>110</v>
      </c>
      <c r="AV22">
        <f t="shared" si="18"/>
        <v>107.7</v>
      </c>
      <c r="AW22">
        <f t="shared" si="19"/>
        <v>109.2</v>
      </c>
      <c r="AX22">
        <f t="shared" si="20"/>
        <v>108.2</v>
      </c>
      <c r="AY22">
        <f t="shared" si="21"/>
        <v>107</v>
      </c>
      <c r="AZ22">
        <f t="shared" si="22"/>
        <v>107.1</v>
      </c>
      <c r="BA22">
        <f t="shared" si="23"/>
        <v>106.1</v>
      </c>
      <c r="BB22">
        <f t="shared" si="24"/>
        <v>109.1</v>
      </c>
      <c r="BC22">
        <f t="shared" si="25"/>
        <v>102.8</v>
      </c>
      <c r="BD22">
        <f t="shared" si="26"/>
        <v>106.9</v>
      </c>
      <c r="BE22">
        <f t="shared" si="27"/>
        <v>111</v>
      </c>
      <c r="BF22">
        <f t="shared" si="28"/>
        <v>1461.3999999999999</v>
      </c>
      <c r="BG22">
        <f t="shared" si="29"/>
        <v>329</v>
      </c>
      <c r="BH22">
        <f t="shared" si="30"/>
        <v>209.8</v>
      </c>
      <c r="BI22">
        <f t="shared" si="31"/>
        <v>325</v>
      </c>
      <c r="BJ22">
        <f t="shared" si="32"/>
        <v>323.29999999999995</v>
      </c>
      <c r="BK22">
        <f t="shared" si="33"/>
        <v>216.3</v>
      </c>
    </row>
    <row r="23" spans="1:63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1"/>
        <v>114.3</v>
      </c>
      <c r="AF23">
        <f t="shared" si="2"/>
        <v>115.4</v>
      </c>
      <c r="AG23">
        <f t="shared" si="3"/>
        <v>111.1</v>
      </c>
      <c r="AH23">
        <f t="shared" si="4"/>
        <v>110</v>
      </c>
      <c r="AI23">
        <f t="shared" si="5"/>
        <v>106.4</v>
      </c>
      <c r="AJ23">
        <f t="shared" si="6"/>
        <v>110.8</v>
      </c>
      <c r="AK23">
        <f t="shared" si="7"/>
        <v>138.9</v>
      </c>
      <c r="AL23">
        <f t="shared" si="8"/>
        <v>107.4</v>
      </c>
      <c r="AM23">
        <f t="shared" si="9"/>
        <v>104.1</v>
      </c>
      <c r="AN23">
        <f t="shared" si="10"/>
        <v>106.9</v>
      </c>
      <c r="AO23">
        <f t="shared" si="11"/>
        <v>109.7</v>
      </c>
      <c r="AP23">
        <f t="shared" si="12"/>
        <v>112.6</v>
      </c>
      <c r="AQ23">
        <f t="shared" si="13"/>
        <v>114.9</v>
      </c>
      <c r="AR23">
        <f t="shared" si="14"/>
        <v>110.7</v>
      </c>
      <c r="AS23">
        <f t="shared" si="15"/>
        <v>111.3</v>
      </c>
      <c r="AT23">
        <f t="shared" si="16"/>
        <v>110.2</v>
      </c>
      <c r="AU23">
        <f t="shared" si="17"/>
        <v>111.1</v>
      </c>
      <c r="AV23">
        <f t="shared" si="18"/>
        <v>108.9</v>
      </c>
      <c r="AW23">
        <f t="shared" si="19"/>
        <v>109.9</v>
      </c>
      <c r="AX23">
        <f t="shared" si="20"/>
        <v>108.7</v>
      </c>
      <c r="AY23">
        <f t="shared" si="21"/>
        <v>107.5</v>
      </c>
      <c r="AZ23">
        <f t="shared" si="22"/>
        <v>107.8</v>
      </c>
      <c r="BA23">
        <f t="shared" si="23"/>
        <v>106.8</v>
      </c>
      <c r="BB23">
        <f t="shared" si="24"/>
        <v>108.7</v>
      </c>
      <c r="BC23">
        <f t="shared" si="25"/>
        <v>105</v>
      </c>
      <c r="BD23">
        <f t="shared" si="26"/>
        <v>107.5</v>
      </c>
      <c r="BE23">
        <f t="shared" si="27"/>
        <v>112.1</v>
      </c>
      <c r="BF23">
        <f t="shared" si="28"/>
        <v>1462.5</v>
      </c>
      <c r="BG23">
        <f t="shared" si="29"/>
        <v>332.6</v>
      </c>
      <c r="BH23">
        <f t="shared" si="30"/>
        <v>212.5</v>
      </c>
      <c r="BI23">
        <f t="shared" si="31"/>
        <v>326.3</v>
      </c>
      <c r="BJ23">
        <f t="shared" si="32"/>
        <v>325</v>
      </c>
      <c r="BK23">
        <f t="shared" si="33"/>
        <v>217.7</v>
      </c>
    </row>
    <row r="24" spans="1:63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1"/>
        <v>118.3</v>
      </c>
      <c r="AF24">
        <f t="shared" si="2"/>
        <v>120.4</v>
      </c>
      <c r="AG24">
        <f t="shared" si="3"/>
        <v>112.7</v>
      </c>
      <c r="AH24">
        <f t="shared" si="4"/>
        <v>108.9</v>
      </c>
      <c r="AI24">
        <f t="shared" si="5"/>
        <v>101.1</v>
      </c>
      <c r="AJ24">
        <f t="shared" si="6"/>
        <v>108.7</v>
      </c>
      <c r="AK24">
        <f t="shared" si="7"/>
        <v>177</v>
      </c>
      <c r="AL24">
        <f t="shared" si="8"/>
        <v>104.7</v>
      </c>
      <c r="AM24">
        <f t="shared" si="9"/>
        <v>101</v>
      </c>
      <c r="AN24">
        <f t="shared" si="10"/>
        <v>108.5</v>
      </c>
      <c r="AO24">
        <f t="shared" si="11"/>
        <v>110.9</v>
      </c>
      <c r="AP24">
        <f t="shared" si="12"/>
        <v>114.3</v>
      </c>
      <c r="AQ24">
        <f t="shared" si="13"/>
        <v>119.6</v>
      </c>
      <c r="AR24">
        <f t="shared" si="14"/>
        <v>112.4</v>
      </c>
      <c r="AS24">
        <f t="shared" si="15"/>
        <v>110.6</v>
      </c>
      <c r="AT24">
        <f t="shared" si="16"/>
        <v>108.3</v>
      </c>
      <c r="AU24">
        <f t="shared" si="17"/>
        <v>110.2</v>
      </c>
      <c r="AV24">
        <f t="shared" si="18"/>
        <v>108.9</v>
      </c>
      <c r="AW24">
        <f t="shared" si="19"/>
        <v>109.3</v>
      </c>
      <c r="AX24">
        <f t="shared" si="20"/>
        <v>108.7</v>
      </c>
      <c r="AY24">
        <f t="shared" si="21"/>
        <v>107.6</v>
      </c>
      <c r="AZ24">
        <f t="shared" si="22"/>
        <v>108.1</v>
      </c>
      <c r="BA24">
        <f t="shared" si="23"/>
        <v>106.5</v>
      </c>
      <c r="BB24">
        <f t="shared" si="24"/>
        <v>110.8</v>
      </c>
      <c r="BC24">
        <f t="shared" si="25"/>
        <v>106</v>
      </c>
      <c r="BD24">
        <f t="shared" si="26"/>
        <v>108.3</v>
      </c>
      <c r="BE24">
        <f t="shared" si="27"/>
        <v>112.7</v>
      </c>
      <c r="BF24">
        <f t="shared" si="28"/>
        <v>1506.1000000000001</v>
      </c>
      <c r="BG24">
        <f t="shared" si="29"/>
        <v>329.09999999999997</v>
      </c>
      <c r="BH24">
        <f t="shared" si="30"/>
        <v>213.6</v>
      </c>
      <c r="BI24">
        <f t="shared" si="31"/>
        <v>328.4</v>
      </c>
      <c r="BJ24">
        <f t="shared" si="32"/>
        <v>327.2</v>
      </c>
      <c r="BK24">
        <f t="shared" si="33"/>
        <v>217.39999999999998</v>
      </c>
    </row>
    <row r="25" spans="1:63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1"/>
        <v>115.6</v>
      </c>
      <c r="AF25">
        <f t="shared" si="2"/>
        <v>117.2</v>
      </c>
      <c r="AG25">
        <f t="shared" si="3"/>
        <v>111.7</v>
      </c>
      <c r="AH25">
        <f t="shared" si="4"/>
        <v>109.6</v>
      </c>
      <c r="AI25">
        <f t="shared" si="5"/>
        <v>104.5</v>
      </c>
      <c r="AJ25">
        <f t="shared" si="6"/>
        <v>109.8</v>
      </c>
      <c r="AK25">
        <f t="shared" si="7"/>
        <v>151.80000000000001</v>
      </c>
      <c r="AL25">
        <f t="shared" si="8"/>
        <v>106.5</v>
      </c>
      <c r="AM25">
        <f t="shared" si="9"/>
        <v>103.1</v>
      </c>
      <c r="AN25">
        <f t="shared" si="10"/>
        <v>107.4</v>
      </c>
      <c r="AO25">
        <f t="shared" si="11"/>
        <v>110.2</v>
      </c>
      <c r="AP25">
        <f t="shared" si="12"/>
        <v>113.4</v>
      </c>
      <c r="AQ25">
        <f t="shared" si="13"/>
        <v>116.6</v>
      </c>
      <c r="AR25">
        <f t="shared" si="14"/>
        <v>111.2</v>
      </c>
      <c r="AS25">
        <f t="shared" si="15"/>
        <v>111</v>
      </c>
      <c r="AT25">
        <f t="shared" si="16"/>
        <v>109.4</v>
      </c>
      <c r="AU25">
        <f t="shared" si="17"/>
        <v>110.7</v>
      </c>
      <c r="AV25">
        <f t="shared" si="18"/>
        <v>108.9</v>
      </c>
      <c r="AW25">
        <f t="shared" si="19"/>
        <v>109.7</v>
      </c>
      <c r="AX25">
        <f t="shared" si="20"/>
        <v>108.7</v>
      </c>
      <c r="AY25">
        <f t="shared" si="21"/>
        <v>107.5</v>
      </c>
      <c r="AZ25">
        <f t="shared" si="22"/>
        <v>108</v>
      </c>
      <c r="BA25">
        <f t="shared" si="23"/>
        <v>106.6</v>
      </c>
      <c r="BB25">
        <f t="shared" si="24"/>
        <v>109.9</v>
      </c>
      <c r="BC25">
        <f t="shared" si="25"/>
        <v>105.4</v>
      </c>
      <c r="BD25">
        <f t="shared" si="26"/>
        <v>107.9</v>
      </c>
      <c r="BE25">
        <f t="shared" si="27"/>
        <v>112.4</v>
      </c>
      <c r="BF25">
        <f t="shared" si="28"/>
        <v>1477.4</v>
      </c>
      <c r="BG25">
        <f t="shared" si="29"/>
        <v>331.1</v>
      </c>
      <c r="BH25">
        <f t="shared" si="30"/>
        <v>212.9</v>
      </c>
      <c r="BI25">
        <f t="shared" si="31"/>
        <v>327.5</v>
      </c>
      <c r="BJ25">
        <f t="shared" si="32"/>
        <v>325.70000000000005</v>
      </c>
      <c r="BK25">
        <f t="shared" si="33"/>
        <v>217.7</v>
      </c>
    </row>
    <row r="26" spans="1:63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1"/>
        <v>115.4</v>
      </c>
      <c r="AF26">
        <f t="shared" si="2"/>
        <v>115.7</v>
      </c>
      <c r="AG26">
        <f t="shared" si="3"/>
        <v>111.7</v>
      </c>
      <c r="AH26">
        <f t="shared" si="4"/>
        <v>111</v>
      </c>
      <c r="AI26">
        <f t="shared" si="5"/>
        <v>107.4</v>
      </c>
      <c r="AJ26">
        <f t="shared" si="6"/>
        <v>110.9</v>
      </c>
      <c r="AK26">
        <f t="shared" si="7"/>
        <v>154</v>
      </c>
      <c r="AL26">
        <f t="shared" si="8"/>
        <v>108.1</v>
      </c>
      <c r="AM26">
        <f t="shared" si="9"/>
        <v>104.2</v>
      </c>
      <c r="AN26">
        <f t="shared" si="10"/>
        <v>107.9</v>
      </c>
      <c r="AO26">
        <f t="shared" si="11"/>
        <v>110.4</v>
      </c>
      <c r="AP26">
        <f t="shared" si="12"/>
        <v>114</v>
      </c>
      <c r="AQ26">
        <f t="shared" si="13"/>
        <v>117.8</v>
      </c>
      <c r="AR26">
        <f t="shared" si="14"/>
        <v>111.7</v>
      </c>
      <c r="AS26">
        <f t="shared" si="15"/>
        <v>112.7</v>
      </c>
      <c r="AT26">
        <f t="shared" si="16"/>
        <v>111.4</v>
      </c>
      <c r="AU26">
        <f t="shared" si="17"/>
        <v>112.5</v>
      </c>
      <c r="AV26">
        <f t="shared" si="18"/>
        <v>109.7</v>
      </c>
      <c r="AW26">
        <f t="shared" si="19"/>
        <v>111.1</v>
      </c>
      <c r="AX26">
        <f t="shared" si="20"/>
        <v>109.6</v>
      </c>
      <c r="AY26">
        <f t="shared" si="21"/>
        <v>108.3</v>
      </c>
      <c r="AZ26">
        <f t="shared" si="22"/>
        <v>109.3</v>
      </c>
      <c r="BA26">
        <f t="shared" si="23"/>
        <v>107.7</v>
      </c>
      <c r="BB26">
        <f t="shared" si="24"/>
        <v>109.8</v>
      </c>
      <c r="BC26">
        <f t="shared" si="25"/>
        <v>106.7</v>
      </c>
      <c r="BD26">
        <f t="shared" si="26"/>
        <v>108.7</v>
      </c>
      <c r="BE26">
        <f t="shared" si="27"/>
        <v>114.2</v>
      </c>
      <c r="BF26">
        <f t="shared" si="28"/>
        <v>1488.5000000000002</v>
      </c>
      <c r="BG26">
        <f t="shared" si="29"/>
        <v>336.6</v>
      </c>
      <c r="BH26">
        <f t="shared" si="30"/>
        <v>215</v>
      </c>
      <c r="BI26">
        <f t="shared" si="31"/>
        <v>329.09999999999997</v>
      </c>
      <c r="BJ26">
        <f t="shared" si="32"/>
        <v>328.1</v>
      </c>
      <c r="BK26">
        <f t="shared" si="33"/>
        <v>220.39999999999998</v>
      </c>
    </row>
    <row r="27" spans="1:63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1"/>
        <v>118.6</v>
      </c>
      <c r="AF27">
        <f t="shared" si="2"/>
        <v>119.1</v>
      </c>
      <c r="AG27">
        <f t="shared" si="3"/>
        <v>113.2</v>
      </c>
      <c r="AH27">
        <f t="shared" si="4"/>
        <v>109.6</v>
      </c>
      <c r="AI27">
        <f t="shared" si="5"/>
        <v>101.7</v>
      </c>
      <c r="AJ27">
        <f t="shared" si="6"/>
        <v>103.2</v>
      </c>
      <c r="AK27">
        <f t="shared" si="7"/>
        <v>174.3</v>
      </c>
      <c r="AL27">
        <f t="shared" si="8"/>
        <v>105.1</v>
      </c>
      <c r="AM27">
        <f t="shared" si="9"/>
        <v>100.8</v>
      </c>
      <c r="AN27">
        <f t="shared" si="10"/>
        <v>109.1</v>
      </c>
      <c r="AO27">
        <f t="shared" si="11"/>
        <v>111.1</v>
      </c>
      <c r="AP27">
        <f t="shared" si="12"/>
        <v>115.4</v>
      </c>
      <c r="AQ27">
        <f t="shared" si="13"/>
        <v>119.2</v>
      </c>
      <c r="AR27">
        <f t="shared" si="14"/>
        <v>112.9</v>
      </c>
      <c r="AS27">
        <f t="shared" si="15"/>
        <v>111.4</v>
      </c>
      <c r="AT27">
        <f t="shared" si="16"/>
        <v>109</v>
      </c>
      <c r="AU27">
        <f t="shared" si="17"/>
        <v>111.1</v>
      </c>
      <c r="AV27">
        <f t="shared" si="18"/>
        <v>109.7</v>
      </c>
      <c r="AW27">
        <f t="shared" si="19"/>
        <v>109.5</v>
      </c>
      <c r="AX27">
        <f t="shared" si="20"/>
        <v>109.6</v>
      </c>
      <c r="AY27">
        <f t="shared" si="21"/>
        <v>107.9</v>
      </c>
      <c r="AZ27">
        <f t="shared" si="22"/>
        <v>110.4</v>
      </c>
      <c r="BA27">
        <f t="shared" si="23"/>
        <v>107.4</v>
      </c>
      <c r="BB27">
        <f t="shared" si="24"/>
        <v>111.2</v>
      </c>
      <c r="BC27">
        <f t="shared" si="25"/>
        <v>106.9</v>
      </c>
      <c r="BD27">
        <f t="shared" si="26"/>
        <v>109.4</v>
      </c>
      <c r="BE27">
        <f t="shared" si="27"/>
        <v>113.2</v>
      </c>
      <c r="BF27">
        <f t="shared" si="28"/>
        <v>1500.4</v>
      </c>
      <c r="BG27">
        <f t="shared" si="29"/>
        <v>331.5</v>
      </c>
      <c r="BH27">
        <f t="shared" si="30"/>
        <v>214.8</v>
      </c>
      <c r="BI27">
        <f t="shared" si="31"/>
        <v>330.5</v>
      </c>
      <c r="BJ27">
        <f t="shared" si="32"/>
        <v>329.70000000000005</v>
      </c>
      <c r="BK27">
        <f t="shared" si="33"/>
        <v>219.9</v>
      </c>
    </row>
    <row r="28" spans="1:63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1"/>
        <v>116.4</v>
      </c>
      <c r="AF28">
        <f t="shared" si="2"/>
        <v>116.9</v>
      </c>
      <c r="AG28">
        <f t="shared" si="3"/>
        <v>112.3</v>
      </c>
      <c r="AH28">
        <f t="shared" si="4"/>
        <v>110.5</v>
      </c>
      <c r="AI28">
        <f t="shared" si="5"/>
        <v>105.3</v>
      </c>
      <c r="AJ28">
        <f t="shared" si="6"/>
        <v>107.3</v>
      </c>
      <c r="AK28">
        <f t="shared" si="7"/>
        <v>160.9</v>
      </c>
      <c r="AL28">
        <f t="shared" si="8"/>
        <v>107.1</v>
      </c>
      <c r="AM28">
        <f t="shared" si="9"/>
        <v>103.1</v>
      </c>
      <c r="AN28">
        <f t="shared" si="10"/>
        <v>108.3</v>
      </c>
      <c r="AO28">
        <f t="shared" si="11"/>
        <v>110.7</v>
      </c>
      <c r="AP28">
        <f t="shared" si="12"/>
        <v>114.6</v>
      </c>
      <c r="AQ28">
        <f t="shared" si="13"/>
        <v>118.3</v>
      </c>
      <c r="AR28">
        <f t="shared" si="14"/>
        <v>112</v>
      </c>
      <c r="AS28">
        <f t="shared" si="15"/>
        <v>112.2</v>
      </c>
      <c r="AT28">
        <f t="shared" si="16"/>
        <v>110.4</v>
      </c>
      <c r="AU28">
        <f t="shared" si="17"/>
        <v>111.9</v>
      </c>
      <c r="AV28">
        <f t="shared" si="18"/>
        <v>109.7</v>
      </c>
      <c r="AW28">
        <f t="shared" si="19"/>
        <v>110.5</v>
      </c>
      <c r="AX28">
        <f t="shared" si="20"/>
        <v>109.6</v>
      </c>
      <c r="AY28">
        <f t="shared" si="21"/>
        <v>108.1</v>
      </c>
      <c r="AZ28">
        <f t="shared" si="22"/>
        <v>109.9</v>
      </c>
      <c r="BA28">
        <f t="shared" si="23"/>
        <v>107.5</v>
      </c>
      <c r="BB28">
        <f t="shared" si="24"/>
        <v>110.6</v>
      </c>
      <c r="BC28">
        <f t="shared" si="25"/>
        <v>106.8</v>
      </c>
      <c r="BD28">
        <f t="shared" si="26"/>
        <v>109</v>
      </c>
      <c r="BE28">
        <f t="shared" si="27"/>
        <v>113.7</v>
      </c>
      <c r="BF28">
        <f t="shared" si="28"/>
        <v>1491.6999999999998</v>
      </c>
      <c r="BG28">
        <f t="shared" si="29"/>
        <v>334.5</v>
      </c>
      <c r="BH28">
        <f t="shared" si="30"/>
        <v>214.89999999999998</v>
      </c>
      <c r="BI28">
        <f t="shared" si="31"/>
        <v>329.9</v>
      </c>
      <c r="BJ28">
        <f t="shared" si="32"/>
        <v>328.5</v>
      </c>
      <c r="BK28">
        <f t="shared" si="33"/>
        <v>220.4</v>
      </c>
    </row>
    <row r="29" spans="1:63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1"/>
        <v>116.3</v>
      </c>
      <c r="AF29">
        <f t="shared" si="2"/>
        <v>115.4</v>
      </c>
      <c r="AG29">
        <f t="shared" si="3"/>
        <v>112.6</v>
      </c>
      <c r="AH29">
        <f t="shared" si="4"/>
        <v>111.7</v>
      </c>
      <c r="AI29">
        <f t="shared" si="5"/>
        <v>107.7</v>
      </c>
      <c r="AJ29">
        <f t="shared" si="6"/>
        <v>113.2</v>
      </c>
      <c r="AK29">
        <f t="shared" si="7"/>
        <v>164.9</v>
      </c>
      <c r="AL29">
        <f t="shared" si="8"/>
        <v>108.3</v>
      </c>
      <c r="AM29">
        <f t="shared" si="9"/>
        <v>103.9</v>
      </c>
      <c r="AN29">
        <f t="shared" si="10"/>
        <v>108.2</v>
      </c>
      <c r="AO29">
        <f t="shared" si="11"/>
        <v>111.1</v>
      </c>
      <c r="AP29">
        <f t="shared" si="12"/>
        <v>114.9</v>
      </c>
      <c r="AQ29">
        <f t="shared" si="13"/>
        <v>119.8</v>
      </c>
      <c r="AR29">
        <f t="shared" si="14"/>
        <v>112.2</v>
      </c>
      <c r="AS29">
        <f t="shared" si="15"/>
        <v>113.6</v>
      </c>
      <c r="AT29">
        <f t="shared" si="16"/>
        <v>112.3</v>
      </c>
      <c r="AU29">
        <f t="shared" si="17"/>
        <v>113.4</v>
      </c>
      <c r="AV29">
        <f t="shared" si="18"/>
        <v>110.5</v>
      </c>
      <c r="AW29">
        <f t="shared" si="19"/>
        <v>111.6</v>
      </c>
      <c r="AX29">
        <f t="shared" si="20"/>
        <v>110.4</v>
      </c>
      <c r="AY29">
        <f t="shared" si="21"/>
        <v>108.9</v>
      </c>
      <c r="AZ29">
        <f t="shared" si="22"/>
        <v>109.3</v>
      </c>
      <c r="BA29">
        <f t="shared" si="23"/>
        <v>108.3</v>
      </c>
      <c r="BB29">
        <f t="shared" si="24"/>
        <v>110.2</v>
      </c>
      <c r="BC29">
        <f t="shared" si="25"/>
        <v>107.5</v>
      </c>
      <c r="BD29">
        <f t="shared" si="26"/>
        <v>109.1</v>
      </c>
      <c r="BE29">
        <f t="shared" si="27"/>
        <v>115.5</v>
      </c>
      <c r="BF29">
        <f t="shared" si="28"/>
        <v>1508</v>
      </c>
      <c r="BG29">
        <f t="shared" si="29"/>
        <v>339.29999999999995</v>
      </c>
      <c r="BH29">
        <f t="shared" si="30"/>
        <v>216.4</v>
      </c>
      <c r="BI29">
        <f t="shared" si="31"/>
        <v>331.1</v>
      </c>
      <c r="BJ29">
        <f t="shared" si="32"/>
        <v>329.6</v>
      </c>
      <c r="BK29">
        <f t="shared" si="33"/>
        <v>220.89999999999998</v>
      </c>
    </row>
    <row r="30" spans="1:63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1"/>
        <v>118.9</v>
      </c>
      <c r="AF30">
        <f t="shared" si="2"/>
        <v>118.1</v>
      </c>
      <c r="AG30">
        <f t="shared" si="3"/>
        <v>114.5</v>
      </c>
      <c r="AH30">
        <f t="shared" si="4"/>
        <v>110.4</v>
      </c>
      <c r="AI30">
        <f t="shared" si="5"/>
        <v>102.3</v>
      </c>
      <c r="AJ30">
        <f t="shared" si="6"/>
        <v>106.2</v>
      </c>
      <c r="AK30">
        <f t="shared" si="7"/>
        <v>183.5</v>
      </c>
      <c r="AL30">
        <f t="shared" si="8"/>
        <v>105.3</v>
      </c>
      <c r="AM30">
        <f t="shared" si="9"/>
        <v>100.2</v>
      </c>
      <c r="AN30">
        <f t="shared" si="10"/>
        <v>109.6</v>
      </c>
      <c r="AO30">
        <f t="shared" si="11"/>
        <v>111.4</v>
      </c>
      <c r="AP30">
        <f t="shared" si="12"/>
        <v>116</v>
      </c>
      <c r="AQ30">
        <f t="shared" si="13"/>
        <v>120.8</v>
      </c>
      <c r="AR30">
        <f t="shared" si="14"/>
        <v>113.5</v>
      </c>
      <c r="AS30">
        <f t="shared" si="15"/>
        <v>112.5</v>
      </c>
      <c r="AT30">
        <f t="shared" si="16"/>
        <v>109.7</v>
      </c>
      <c r="AU30">
        <f t="shared" si="17"/>
        <v>112</v>
      </c>
      <c r="AV30">
        <f t="shared" si="18"/>
        <v>110.5</v>
      </c>
      <c r="AW30">
        <f t="shared" si="19"/>
        <v>109.7</v>
      </c>
      <c r="AX30">
        <f t="shared" si="20"/>
        <v>110.2</v>
      </c>
      <c r="AY30">
        <f t="shared" si="21"/>
        <v>108.2</v>
      </c>
      <c r="AZ30">
        <f t="shared" si="22"/>
        <v>109.7</v>
      </c>
      <c r="BA30">
        <f t="shared" si="23"/>
        <v>108</v>
      </c>
      <c r="BB30">
        <f t="shared" si="24"/>
        <v>111.3</v>
      </c>
      <c r="BC30">
        <f t="shared" si="25"/>
        <v>107.3</v>
      </c>
      <c r="BD30">
        <f t="shared" si="26"/>
        <v>109.4</v>
      </c>
      <c r="BE30">
        <f t="shared" si="27"/>
        <v>114</v>
      </c>
      <c r="BF30">
        <f t="shared" si="28"/>
        <v>1517.1999999999998</v>
      </c>
      <c r="BG30">
        <f t="shared" si="29"/>
        <v>334.2</v>
      </c>
      <c r="BH30">
        <f t="shared" si="30"/>
        <v>215.5</v>
      </c>
      <c r="BI30">
        <f t="shared" si="31"/>
        <v>332</v>
      </c>
      <c r="BJ30">
        <f t="shared" si="32"/>
        <v>330.9</v>
      </c>
      <c r="BK30">
        <f t="shared" si="33"/>
        <v>219.4</v>
      </c>
    </row>
    <row r="31" spans="1:63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1"/>
        <v>117.1</v>
      </c>
      <c r="AF31">
        <f t="shared" si="2"/>
        <v>116.3</v>
      </c>
      <c r="AG31">
        <f t="shared" si="3"/>
        <v>113.3</v>
      </c>
      <c r="AH31">
        <f t="shared" si="4"/>
        <v>111.2</v>
      </c>
      <c r="AI31">
        <f t="shared" si="5"/>
        <v>105.7</v>
      </c>
      <c r="AJ31">
        <f t="shared" si="6"/>
        <v>109.9</v>
      </c>
      <c r="AK31">
        <f t="shared" si="7"/>
        <v>171.2</v>
      </c>
      <c r="AL31">
        <f t="shared" si="8"/>
        <v>107.3</v>
      </c>
      <c r="AM31">
        <f t="shared" si="9"/>
        <v>102.7</v>
      </c>
      <c r="AN31">
        <f t="shared" si="10"/>
        <v>108.7</v>
      </c>
      <c r="AO31">
        <f t="shared" si="11"/>
        <v>111.2</v>
      </c>
      <c r="AP31">
        <f t="shared" si="12"/>
        <v>115.4</v>
      </c>
      <c r="AQ31">
        <f t="shared" si="13"/>
        <v>120.2</v>
      </c>
      <c r="AR31">
        <f t="shared" si="14"/>
        <v>112.5</v>
      </c>
      <c r="AS31">
        <f t="shared" si="15"/>
        <v>113.2</v>
      </c>
      <c r="AT31">
        <f t="shared" si="16"/>
        <v>111.2</v>
      </c>
      <c r="AU31">
        <f t="shared" si="17"/>
        <v>112.8</v>
      </c>
      <c r="AV31">
        <f t="shared" si="18"/>
        <v>110.5</v>
      </c>
      <c r="AW31">
        <f t="shared" si="19"/>
        <v>110.9</v>
      </c>
      <c r="AX31">
        <f t="shared" si="20"/>
        <v>110.3</v>
      </c>
      <c r="AY31">
        <f t="shared" si="21"/>
        <v>108.6</v>
      </c>
      <c r="AZ31">
        <f t="shared" si="22"/>
        <v>109.5</v>
      </c>
      <c r="BA31">
        <f t="shared" si="23"/>
        <v>108.1</v>
      </c>
      <c r="BB31">
        <f t="shared" si="24"/>
        <v>110.8</v>
      </c>
      <c r="BC31">
        <f t="shared" si="25"/>
        <v>107.4</v>
      </c>
      <c r="BD31">
        <f t="shared" si="26"/>
        <v>109.2</v>
      </c>
      <c r="BE31">
        <f t="shared" si="27"/>
        <v>114.8</v>
      </c>
      <c r="BF31">
        <f t="shared" si="28"/>
        <v>1510.2000000000003</v>
      </c>
      <c r="BG31">
        <f t="shared" si="29"/>
        <v>337.2</v>
      </c>
      <c r="BH31">
        <f t="shared" si="30"/>
        <v>216</v>
      </c>
      <c r="BI31">
        <f t="shared" si="31"/>
        <v>331.6</v>
      </c>
      <c r="BJ31">
        <f t="shared" si="32"/>
        <v>329.8</v>
      </c>
      <c r="BK31">
        <f t="shared" si="33"/>
        <v>220.4</v>
      </c>
    </row>
    <row r="32" spans="1:63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 t="shared" si="1"/>
        <v>117.3</v>
      </c>
      <c r="AF32">
        <f t="shared" si="2"/>
        <v>114.9</v>
      </c>
      <c r="AG32">
        <f t="shared" si="3"/>
        <v>116.2</v>
      </c>
      <c r="AH32">
        <f t="shared" si="4"/>
        <v>112.8</v>
      </c>
      <c r="AI32">
        <f t="shared" si="5"/>
        <v>108.9</v>
      </c>
      <c r="AJ32">
        <f t="shared" si="6"/>
        <v>116.6</v>
      </c>
      <c r="AK32">
        <f t="shared" si="7"/>
        <v>178.1</v>
      </c>
      <c r="AL32">
        <f t="shared" si="8"/>
        <v>109.1</v>
      </c>
      <c r="AM32">
        <f t="shared" si="9"/>
        <v>103.6</v>
      </c>
      <c r="AN32">
        <f t="shared" si="10"/>
        <v>109</v>
      </c>
      <c r="AO32">
        <f t="shared" si="11"/>
        <v>111.8</v>
      </c>
      <c r="AP32">
        <f t="shared" si="12"/>
        <v>116</v>
      </c>
      <c r="AQ32">
        <f t="shared" si="13"/>
        <v>122.5</v>
      </c>
      <c r="AR32">
        <f t="shared" si="14"/>
        <v>112.8</v>
      </c>
      <c r="AS32">
        <f t="shared" si="15"/>
        <v>114.6</v>
      </c>
      <c r="AT32">
        <f t="shared" si="16"/>
        <v>113.1</v>
      </c>
      <c r="AU32">
        <f t="shared" si="17"/>
        <v>114.4</v>
      </c>
      <c r="AV32">
        <f t="shared" si="18"/>
        <v>111.1</v>
      </c>
      <c r="AW32">
        <f t="shared" si="19"/>
        <v>112.6</v>
      </c>
      <c r="AX32">
        <f t="shared" si="20"/>
        <v>111.3</v>
      </c>
      <c r="AY32">
        <f t="shared" si="21"/>
        <v>109.7</v>
      </c>
      <c r="AZ32">
        <f t="shared" si="22"/>
        <v>109.6</v>
      </c>
      <c r="BA32">
        <f t="shared" si="23"/>
        <v>108.7</v>
      </c>
      <c r="BB32">
        <f t="shared" si="24"/>
        <v>111</v>
      </c>
      <c r="BC32">
        <f t="shared" si="25"/>
        <v>108.2</v>
      </c>
      <c r="BD32">
        <f t="shared" si="26"/>
        <v>109.8</v>
      </c>
      <c r="BE32">
        <f t="shared" si="27"/>
        <v>117.4</v>
      </c>
      <c r="BF32">
        <f t="shared" si="28"/>
        <v>1536.8</v>
      </c>
      <c r="BG32">
        <f t="shared" si="29"/>
        <v>342.1</v>
      </c>
      <c r="BH32">
        <f t="shared" si="30"/>
        <v>217.9</v>
      </c>
      <c r="BI32">
        <f t="shared" si="31"/>
        <v>333.4</v>
      </c>
      <c r="BJ32">
        <f t="shared" si="32"/>
        <v>331.3</v>
      </c>
      <c r="BK32">
        <f t="shared" si="33"/>
        <v>222.2</v>
      </c>
    </row>
    <row r="33" spans="1:63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1"/>
        <v>119.8</v>
      </c>
      <c r="AF33">
        <f t="shared" si="2"/>
        <v>116.3</v>
      </c>
      <c r="AG33">
        <f t="shared" si="3"/>
        <v>122.6</v>
      </c>
      <c r="AH33">
        <f t="shared" si="4"/>
        <v>112</v>
      </c>
      <c r="AI33">
        <f t="shared" si="5"/>
        <v>103.2</v>
      </c>
      <c r="AJ33">
        <f t="shared" si="6"/>
        <v>110</v>
      </c>
      <c r="AK33">
        <f t="shared" si="7"/>
        <v>192.8</v>
      </c>
      <c r="AL33">
        <f t="shared" si="8"/>
        <v>106.3</v>
      </c>
      <c r="AM33">
        <f t="shared" si="9"/>
        <v>99.5</v>
      </c>
      <c r="AN33">
        <f t="shared" si="10"/>
        <v>110.3</v>
      </c>
      <c r="AO33">
        <f t="shared" si="11"/>
        <v>111.8</v>
      </c>
      <c r="AP33">
        <f t="shared" si="12"/>
        <v>117.1</v>
      </c>
      <c r="AQ33">
        <f t="shared" si="13"/>
        <v>122.9</v>
      </c>
      <c r="AR33">
        <f t="shared" si="14"/>
        <v>114.1</v>
      </c>
      <c r="AS33">
        <f t="shared" si="15"/>
        <v>113.5</v>
      </c>
      <c r="AT33">
        <f t="shared" si="16"/>
        <v>110.3</v>
      </c>
      <c r="AU33">
        <f t="shared" si="17"/>
        <v>113</v>
      </c>
      <c r="AV33">
        <f t="shared" si="18"/>
        <v>111.1</v>
      </c>
      <c r="AW33">
        <f t="shared" si="19"/>
        <v>110</v>
      </c>
      <c r="AX33">
        <f t="shared" si="20"/>
        <v>110.9</v>
      </c>
      <c r="AY33">
        <f t="shared" si="21"/>
        <v>108.6</v>
      </c>
      <c r="AZ33">
        <f t="shared" si="22"/>
        <v>109.5</v>
      </c>
      <c r="BA33">
        <f t="shared" si="23"/>
        <v>108.5</v>
      </c>
      <c r="BB33">
        <f t="shared" si="24"/>
        <v>111.3</v>
      </c>
      <c r="BC33">
        <f t="shared" si="25"/>
        <v>107.9</v>
      </c>
      <c r="BD33">
        <f t="shared" si="26"/>
        <v>109.6</v>
      </c>
      <c r="BE33">
        <f t="shared" si="27"/>
        <v>115</v>
      </c>
      <c r="BF33">
        <f t="shared" si="28"/>
        <v>1544.6</v>
      </c>
      <c r="BG33">
        <f t="shared" si="29"/>
        <v>336.8</v>
      </c>
      <c r="BH33">
        <f t="shared" si="30"/>
        <v>216.5</v>
      </c>
      <c r="BI33">
        <f t="shared" si="31"/>
        <v>333.29999999999995</v>
      </c>
      <c r="BJ33">
        <f t="shared" si="32"/>
        <v>332.2</v>
      </c>
      <c r="BK33">
        <f t="shared" si="33"/>
        <v>219.5</v>
      </c>
    </row>
    <row r="34" spans="1:63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1"/>
        <v>118.1</v>
      </c>
      <c r="AF34">
        <f t="shared" si="2"/>
        <v>115.4</v>
      </c>
      <c r="AG34">
        <f t="shared" si="3"/>
        <v>118.7</v>
      </c>
      <c r="AH34">
        <f t="shared" si="4"/>
        <v>112.5</v>
      </c>
      <c r="AI34">
        <f t="shared" si="5"/>
        <v>106.8</v>
      </c>
      <c r="AJ34">
        <f t="shared" si="6"/>
        <v>113.5</v>
      </c>
      <c r="AK34">
        <f t="shared" si="7"/>
        <v>183.1</v>
      </c>
      <c r="AL34">
        <f t="shared" si="8"/>
        <v>108.2</v>
      </c>
      <c r="AM34">
        <f t="shared" si="9"/>
        <v>102.2</v>
      </c>
      <c r="AN34">
        <f t="shared" si="10"/>
        <v>109.4</v>
      </c>
      <c r="AO34">
        <f t="shared" si="11"/>
        <v>111.8</v>
      </c>
      <c r="AP34">
        <f t="shared" si="12"/>
        <v>116.5</v>
      </c>
      <c r="AQ34">
        <f t="shared" si="13"/>
        <v>122.6</v>
      </c>
      <c r="AR34">
        <f t="shared" si="14"/>
        <v>113.1</v>
      </c>
      <c r="AS34">
        <f t="shared" si="15"/>
        <v>114.2</v>
      </c>
      <c r="AT34">
        <f t="shared" si="16"/>
        <v>111.9</v>
      </c>
      <c r="AU34">
        <f t="shared" si="17"/>
        <v>113.8</v>
      </c>
      <c r="AV34">
        <f t="shared" si="18"/>
        <v>111.1</v>
      </c>
      <c r="AW34">
        <f t="shared" si="19"/>
        <v>111.6</v>
      </c>
      <c r="AX34">
        <f t="shared" si="20"/>
        <v>111.1</v>
      </c>
      <c r="AY34">
        <f t="shared" si="21"/>
        <v>109.3</v>
      </c>
      <c r="AZ34">
        <f t="shared" si="22"/>
        <v>109.5</v>
      </c>
      <c r="BA34">
        <f t="shared" si="23"/>
        <v>108.6</v>
      </c>
      <c r="BB34">
        <f t="shared" si="24"/>
        <v>111.2</v>
      </c>
      <c r="BC34">
        <f t="shared" si="25"/>
        <v>108.1</v>
      </c>
      <c r="BD34">
        <f t="shared" si="26"/>
        <v>109.7</v>
      </c>
      <c r="BE34">
        <f t="shared" si="27"/>
        <v>116.3</v>
      </c>
      <c r="BF34">
        <f t="shared" si="28"/>
        <v>1538.8</v>
      </c>
      <c r="BG34">
        <f t="shared" si="29"/>
        <v>339.90000000000003</v>
      </c>
      <c r="BH34">
        <f t="shared" si="30"/>
        <v>217.39999999999998</v>
      </c>
      <c r="BI34">
        <f t="shared" si="31"/>
        <v>333.4</v>
      </c>
      <c r="BJ34">
        <f t="shared" si="32"/>
        <v>331.4</v>
      </c>
      <c r="BK34">
        <f t="shared" si="33"/>
        <v>221.1</v>
      </c>
    </row>
    <row r="35" spans="1:63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1"/>
        <v>118.4</v>
      </c>
      <c r="AF35">
        <f t="shared" si="2"/>
        <v>115.9</v>
      </c>
      <c r="AG35">
        <f t="shared" si="3"/>
        <v>120.4</v>
      </c>
      <c r="AH35">
        <f t="shared" si="4"/>
        <v>113.8</v>
      </c>
      <c r="AI35">
        <f t="shared" si="5"/>
        <v>109.5</v>
      </c>
      <c r="AJ35">
        <f t="shared" si="6"/>
        <v>115.5</v>
      </c>
      <c r="AK35">
        <f t="shared" si="7"/>
        <v>145.69999999999999</v>
      </c>
      <c r="AL35">
        <f t="shared" si="8"/>
        <v>109.5</v>
      </c>
      <c r="AM35">
        <f t="shared" si="9"/>
        <v>102.9</v>
      </c>
      <c r="AN35">
        <f t="shared" si="10"/>
        <v>109.8</v>
      </c>
      <c r="AO35">
        <f t="shared" si="11"/>
        <v>112.1</v>
      </c>
      <c r="AP35">
        <f t="shared" si="12"/>
        <v>116.8</v>
      </c>
      <c r="AQ35">
        <f t="shared" si="13"/>
        <v>118.7</v>
      </c>
      <c r="AR35">
        <f t="shared" si="14"/>
        <v>113.6</v>
      </c>
      <c r="AS35">
        <f t="shared" si="15"/>
        <v>115.8</v>
      </c>
      <c r="AT35">
        <f t="shared" si="16"/>
        <v>114</v>
      </c>
      <c r="AU35">
        <f t="shared" si="17"/>
        <v>115.5</v>
      </c>
      <c r="AV35">
        <f t="shared" si="18"/>
        <v>110.7</v>
      </c>
      <c r="AW35">
        <f t="shared" si="19"/>
        <v>112.8</v>
      </c>
      <c r="AX35">
        <f t="shared" si="20"/>
        <v>112.1</v>
      </c>
      <c r="AY35">
        <f t="shared" si="21"/>
        <v>110.1</v>
      </c>
      <c r="AZ35">
        <f t="shared" si="22"/>
        <v>109.9</v>
      </c>
      <c r="BA35">
        <f t="shared" si="23"/>
        <v>109.2</v>
      </c>
      <c r="BB35">
        <f t="shared" si="24"/>
        <v>111.6</v>
      </c>
      <c r="BC35">
        <f t="shared" si="25"/>
        <v>108.1</v>
      </c>
      <c r="BD35">
        <f t="shared" si="26"/>
        <v>110.1</v>
      </c>
      <c r="BE35">
        <f t="shared" si="27"/>
        <v>115.5</v>
      </c>
      <c r="BF35">
        <f t="shared" si="28"/>
        <v>1509</v>
      </c>
      <c r="BG35">
        <f t="shared" si="29"/>
        <v>345.3</v>
      </c>
      <c r="BH35">
        <f t="shared" si="30"/>
        <v>218.2</v>
      </c>
      <c r="BI35">
        <f t="shared" si="31"/>
        <v>334.4</v>
      </c>
      <c r="BJ35">
        <f t="shared" si="32"/>
        <v>332.9</v>
      </c>
      <c r="BK35">
        <f t="shared" si="33"/>
        <v>222.7</v>
      </c>
    </row>
    <row r="36" spans="1:63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1"/>
        <v>120.5</v>
      </c>
      <c r="AF36">
        <f t="shared" si="2"/>
        <v>118.1</v>
      </c>
      <c r="AG36">
        <f t="shared" si="3"/>
        <v>128.5</v>
      </c>
      <c r="AH36">
        <f t="shared" si="4"/>
        <v>112.8</v>
      </c>
      <c r="AI36">
        <f t="shared" si="5"/>
        <v>103.4</v>
      </c>
      <c r="AJ36">
        <f t="shared" si="6"/>
        <v>110.7</v>
      </c>
      <c r="AK36">
        <f t="shared" si="7"/>
        <v>144.80000000000001</v>
      </c>
      <c r="AL36">
        <f t="shared" si="8"/>
        <v>107.1</v>
      </c>
      <c r="AM36">
        <f t="shared" si="9"/>
        <v>98.6</v>
      </c>
      <c r="AN36">
        <f t="shared" si="10"/>
        <v>111.9</v>
      </c>
      <c r="AO36">
        <f t="shared" si="11"/>
        <v>112.1</v>
      </c>
      <c r="AP36">
        <f t="shared" si="12"/>
        <v>118.1</v>
      </c>
      <c r="AQ36">
        <f t="shared" si="13"/>
        <v>117.8</v>
      </c>
      <c r="AR36">
        <f t="shared" si="14"/>
        <v>115</v>
      </c>
      <c r="AS36">
        <f t="shared" si="15"/>
        <v>114.2</v>
      </c>
      <c r="AT36">
        <f t="shared" si="16"/>
        <v>110.9</v>
      </c>
      <c r="AU36">
        <f t="shared" si="17"/>
        <v>113.7</v>
      </c>
      <c r="AV36">
        <f t="shared" si="18"/>
        <v>110.7</v>
      </c>
      <c r="AW36">
        <f t="shared" si="19"/>
        <v>110.4</v>
      </c>
      <c r="AX36">
        <f t="shared" si="20"/>
        <v>111.3</v>
      </c>
      <c r="AY36">
        <f t="shared" si="21"/>
        <v>109</v>
      </c>
      <c r="AZ36">
        <f t="shared" si="22"/>
        <v>109.7</v>
      </c>
      <c r="BA36">
        <f t="shared" si="23"/>
        <v>108.9</v>
      </c>
      <c r="BB36">
        <f t="shared" si="24"/>
        <v>111.4</v>
      </c>
      <c r="BC36">
        <f t="shared" si="25"/>
        <v>107.7</v>
      </c>
      <c r="BD36">
        <f t="shared" si="26"/>
        <v>109.8</v>
      </c>
      <c r="BE36">
        <f t="shared" si="27"/>
        <v>113.3</v>
      </c>
      <c r="BF36">
        <f t="shared" si="28"/>
        <v>1504.4</v>
      </c>
      <c r="BG36">
        <f t="shared" si="29"/>
        <v>338.8</v>
      </c>
      <c r="BH36">
        <f t="shared" si="30"/>
        <v>216.7</v>
      </c>
      <c r="BI36">
        <f t="shared" si="31"/>
        <v>333.4</v>
      </c>
      <c r="BJ36">
        <f t="shared" si="32"/>
        <v>333.7</v>
      </c>
      <c r="BK36">
        <f t="shared" si="33"/>
        <v>220.10000000000002</v>
      </c>
    </row>
    <row r="37" spans="1:63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1"/>
        <v>119.1</v>
      </c>
      <c r="AF37">
        <f t="shared" si="2"/>
        <v>116.7</v>
      </c>
      <c r="AG37">
        <f t="shared" si="3"/>
        <v>123.5</v>
      </c>
      <c r="AH37">
        <f t="shared" si="4"/>
        <v>113.4</v>
      </c>
      <c r="AI37">
        <f t="shared" si="5"/>
        <v>107.3</v>
      </c>
      <c r="AJ37">
        <f t="shared" si="6"/>
        <v>113.3</v>
      </c>
      <c r="AK37">
        <f t="shared" si="7"/>
        <v>145.4</v>
      </c>
      <c r="AL37">
        <f t="shared" si="8"/>
        <v>108.7</v>
      </c>
      <c r="AM37">
        <f t="shared" si="9"/>
        <v>101.5</v>
      </c>
      <c r="AN37">
        <f t="shared" si="10"/>
        <v>110.5</v>
      </c>
      <c r="AO37">
        <f t="shared" si="11"/>
        <v>112.1</v>
      </c>
      <c r="AP37">
        <f t="shared" si="12"/>
        <v>117.4</v>
      </c>
      <c r="AQ37">
        <f t="shared" si="13"/>
        <v>118.4</v>
      </c>
      <c r="AR37">
        <f t="shared" si="14"/>
        <v>114</v>
      </c>
      <c r="AS37">
        <f t="shared" si="15"/>
        <v>115.2</v>
      </c>
      <c r="AT37">
        <f t="shared" si="16"/>
        <v>112.7</v>
      </c>
      <c r="AU37">
        <f t="shared" si="17"/>
        <v>114.8</v>
      </c>
      <c r="AV37">
        <f t="shared" si="18"/>
        <v>110.7</v>
      </c>
      <c r="AW37">
        <f t="shared" si="19"/>
        <v>111.9</v>
      </c>
      <c r="AX37">
        <f t="shared" si="20"/>
        <v>111.7</v>
      </c>
      <c r="AY37">
        <f t="shared" si="21"/>
        <v>109.7</v>
      </c>
      <c r="AZ37">
        <f t="shared" si="22"/>
        <v>109.8</v>
      </c>
      <c r="BA37">
        <f t="shared" si="23"/>
        <v>109</v>
      </c>
      <c r="BB37">
        <f t="shared" si="24"/>
        <v>111.5</v>
      </c>
      <c r="BC37">
        <f t="shared" si="25"/>
        <v>107.9</v>
      </c>
      <c r="BD37">
        <f t="shared" si="26"/>
        <v>110</v>
      </c>
      <c r="BE37">
        <f t="shared" si="27"/>
        <v>114.5</v>
      </c>
      <c r="BF37">
        <f t="shared" si="28"/>
        <v>1507.3000000000002</v>
      </c>
      <c r="BG37">
        <f t="shared" si="29"/>
        <v>342.7</v>
      </c>
      <c r="BH37">
        <f t="shared" si="30"/>
        <v>217.60000000000002</v>
      </c>
      <c r="BI37">
        <f t="shared" si="31"/>
        <v>333.9</v>
      </c>
      <c r="BJ37">
        <f t="shared" si="32"/>
        <v>333</v>
      </c>
      <c r="BK37">
        <f t="shared" si="33"/>
        <v>221.7</v>
      </c>
    </row>
    <row r="38" spans="1:63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1"/>
        <v>118.9</v>
      </c>
      <c r="AF38">
        <f t="shared" si="2"/>
        <v>117.1</v>
      </c>
      <c r="AG38">
        <f t="shared" si="3"/>
        <v>120.5</v>
      </c>
      <c r="AH38">
        <f t="shared" si="4"/>
        <v>114.4</v>
      </c>
      <c r="AI38">
        <f t="shared" si="5"/>
        <v>109</v>
      </c>
      <c r="AJ38">
        <f t="shared" si="6"/>
        <v>115.5</v>
      </c>
      <c r="AK38">
        <f t="shared" si="7"/>
        <v>123.9</v>
      </c>
      <c r="AL38">
        <f t="shared" si="8"/>
        <v>109.6</v>
      </c>
      <c r="AM38">
        <f t="shared" si="9"/>
        <v>101.8</v>
      </c>
      <c r="AN38">
        <f t="shared" si="10"/>
        <v>110.2</v>
      </c>
      <c r="AO38">
        <f t="shared" si="11"/>
        <v>112.4</v>
      </c>
      <c r="AP38">
        <f t="shared" si="12"/>
        <v>117.3</v>
      </c>
      <c r="AQ38">
        <f t="shared" si="13"/>
        <v>116</v>
      </c>
      <c r="AR38">
        <f t="shared" si="14"/>
        <v>114</v>
      </c>
      <c r="AS38">
        <f t="shared" si="15"/>
        <v>116.5</v>
      </c>
      <c r="AT38">
        <f t="shared" si="16"/>
        <v>114.5</v>
      </c>
      <c r="AU38">
        <f t="shared" si="17"/>
        <v>116.2</v>
      </c>
      <c r="AV38">
        <f t="shared" si="18"/>
        <v>111.6</v>
      </c>
      <c r="AW38">
        <f t="shared" si="19"/>
        <v>113</v>
      </c>
      <c r="AX38">
        <f t="shared" si="20"/>
        <v>112.6</v>
      </c>
      <c r="AY38">
        <f t="shared" si="21"/>
        <v>110.6</v>
      </c>
      <c r="AZ38">
        <f t="shared" si="22"/>
        <v>110.5</v>
      </c>
      <c r="BA38">
        <f t="shared" si="23"/>
        <v>109.6</v>
      </c>
      <c r="BB38">
        <f t="shared" si="24"/>
        <v>111.8</v>
      </c>
      <c r="BC38">
        <f t="shared" si="25"/>
        <v>108.3</v>
      </c>
      <c r="BD38">
        <f t="shared" si="26"/>
        <v>110.6</v>
      </c>
      <c r="BE38">
        <f t="shared" si="27"/>
        <v>114.2</v>
      </c>
      <c r="BF38">
        <f t="shared" si="28"/>
        <v>1486.6000000000001</v>
      </c>
      <c r="BG38">
        <f t="shared" si="29"/>
        <v>347.2</v>
      </c>
      <c r="BH38">
        <f t="shared" si="30"/>
        <v>218.89999999999998</v>
      </c>
      <c r="BI38">
        <f t="shared" si="31"/>
        <v>336</v>
      </c>
      <c r="BJ38">
        <f t="shared" si="32"/>
        <v>334.2</v>
      </c>
      <c r="BK38">
        <f t="shared" si="33"/>
        <v>223.5</v>
      </c>
    </row>
    <row r="39" spans="1:63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1"/>
        <v>121.2</v>
      </c>
      <c r="AF39">
        <f t="shared" si="2"/>
        <v>122</v>
      </c>
      <c r="AG39">
        <f t="shared" si="3"/>
        <v>129.9</v>
      </c>
      <c r="AH39">
        <f t="shared" si="4"/>
        <v>113.6</v>
      </c>
      <c r="AI39">
        <f t="shared" si="5"/>
        <v>102.9</v>
      </c>
      <c r="AJ39">
        <f t="shared" si="6"/>
        <v>112.1</v>
      </c>
      <c r="AK39">
        <f t="shared" si="7"/>
        <v>118.9</v>
      </c>
      <c r="AL39">
        <f t="shared" si="8"/>
        <v>107.5</v>
      </c>
      <c r="AM39">
        <f t="shared" si="9"/>
        <v>96.9</v>
      </c>
      <c r="AN39">
        <f t="shared" si="10"/>
        <v>112.7</v>
      </c>
      <c r="AO39">
        <f t="shared" si="11"/>
        <v>112.1</v>
      </c>
      <c r="AP39">
        <f t="shared" si="12"/>
        <v>119</v>
      </c>
      <c r="AQ39">
        <f t="shared" si="13"/>
        <v>115.5</v>
      </c>
      <c r="AR39">
        <f t="shared" si="14"/>
        <v>115.7</v>
      </c>
      <c r="AS39">
        <f t="shared" si="15"/>
        <v>114.8</v>
      </c>
      <c r="AT39">
        <f t="shared" si="16"/>
        <v>111.3</v>
      </c>
      <c r="AU39">
        <f t="shared" si="17"/>
        <v>114.3</v>
      </c>
      <c r="AV39">
        <f t="shared" si="18"/>
        <v>111.6</v>
      </c>
      <c r="AW39">
        <f t="shared" si="19"/>
        <v>111</v>
      </c>
      <c r="AX39">
        <f t="shared" si="20"/>
        <v>111.9</v>
      </c>
      <c r="AY39">
        <f t="shared" si="21"/>
        <v>109.7</v>
      </c>
      <c r="AZ39">
        <f t="shared" si="22"/>
        <v>110.8</v>
      </c>
      <c r="BA39">
        <f t="shared" si="23"/>
        <v>109.8</v>
      </c>
      <c r="BB39">
        <f t="shared" si="24"/>
        <v>111.5</v>
      </c>
      <c r="BC39">
        <f t="shared" si="25"/>
        <v>108</v>
      </c>
      <c r="BD39">
        <f t="shared" si="26"/>
        <v>110.5</v>
      </c>
      <c r="BE39">
        <f t="shared" si="27"/>
        <v>112.9</v>
      </c>
      <c r="BF39">
        <f t="shared" si="28"/>
        <v>1484.3</v>
      </c>
      <c r="BG39">
        <f t="shared" si="29"/>
        <v>340.4</v>
      </c>
      <c r="BH39">
        <f t="shared" si="30"/>
        <v>217.7</v>
      </c>
      <c r="BI39">
        <f t="shared" si="31"/>
        <v>335</v>
      </c>
      <c r="BJ39">
        <f t="shared" si="32"/>
        <v>336</v>
      </c>
      <c r="BK39">
        <f t="shared" si="33"/>
        <v>221.8</v>
      </c>
    </row>
    <row r="40" spans="1:63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1"/>
        <v>119.6</v>
      </c>
      <c r="AF40">
        <f t="shared" si="2"/>
        <v>118.8</v>
      </c>
      <c r="AG40">
        <f t="shared" si="3"/>
        <v>124.1</v>
      </c>
      <c r="AH40">
        <f t="shared" si="4"/>
        <v>114.1</v>
      </c>
      <c r="AI40">
        <f t="shared" si="5"/>
        <v>106.8</v>
      </c>
      <c r="AJ40">
        <f t="shared" si="6"/>
        <v>113.9</v>
      </c>
      <c r="AK40">
        <f t="shared" si="7"/>
        <v>122.2</v>
      </c>
      <c r="AL40">
        <f t="shared" si="8"/>
        <v>108.9</v>
      </c>
      <c r="AM40">
        <f t="shared" si="9"/>
        <v>100.2</v>
      </c>
      <c r="AN40">
        <f t="shared" si="10"/>
        <v>111</v>
      </c>
      <c r="AO40">
        <f t="shared" si="11"/>
        <v>112.3</v>
      </c>
      <c r="AP40">
        <f t="shared" si="12"/>
        <v>118.1</v>
      </c>
      <c r="AQ40">
        <f t="shared" si="13"/>
        <v>115.8</v>
      </c>
      <c r="AR40">
        <f t="shared" si="14"/>
        <v>114.5</v>
      </c>
      <c r="AS40">
        <f t="shared" si="15"/>
        <v>115.8</v>
      </c>
      <c r="AT40">
        <f t="shared" si="16"/>
        <v>113.2</v>
      </c>
      <c r="AU40">
        <f t="shared" si="17"/>
        <v>115.4</v>
      </c>
      <c r="AV40">
        <f t="shared" si="18"/>
        <v>111.6</v>
      </c>
      <c r="AW40">
        <f t="shared" si="19"/>
        <v>112.2</v>
      </c>
      <c r="AX40">
        <f t="shared" si="20"/>
        <v>112.3</v>
      </c>
      <c r="AY40">
        <f t="shared" si="21"/>
        <v>110.3</v>
      </c>
      <c r="AZ40">
        <f t="shared" si="22"/>
        <v>110.7</v>
      </c>
      <c r="BA40">
        <f t="shared" si="23"/>
        <v>109.7</v>
      </c>
      <c r="BB40">
        <f t="shared" si="24"/>
        <v>111.6</v>
      </c>
      <c r="BC40">
        <f t="shared" si="25"/>
        <v>108.2</v>
      </c>
      <c r="BD40">
        <f t="shared" si="26"/>
        <v>110.6</v>
      </c>
      <c r="BE40">
        <f t="shared" si="27"/>
        <v>113.6</v>
      </c>
      <c r="BF40">
        <f t="shared" si="28"/>
        <v>1485.7999999999997</v>
      </c>
      <c r="BG40">
        <f t="shared" si="29"/>
        <v>344.4</v>
      </c>
      <c r="BH40">
        <f t="shared" si="30"/>
        <v>218.5</v>
      </c>
      <c r="BI40">
        <f t="shared" si="31"/>
        <v>335.5</v>
      </c>
      <c r="BJ40">
        <f t="shared" si="32"/>
        <v>334.79999999999995</v>
      </c>
      <c r="BK40">
        <f t="shared" si="33"/>
        <v>222.9</v>
      </c>
    </row>
    <row r="41" spans="1:63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1"/>
        <v>119.4</v>
      </c>
      <c r="AF41">
        <f t="shared" si="2"/>
        <v>117.7</v>
      </c>
      <c r="AG41">
        <f t="shared" si="3"/>
        <v>121.2</v>
      </c>
      <c r="AH41">
        <f t="shared" si="4"/>
        <v>115</v>
      </c>
      <c r="AI41">
        <f t="shared" si="5"/>
        <v>109</v>
      </c>
      <c r="AJ41">
        <f t="shared" si="6"/>
        <v>116.6</v>
      </c>
      <c r="AK41">
        <f t="shared" si="7"/>
        <v>116</v>
      </c>
      <c r="AL41">
        <f t="shared" si="8"/>
        <v>109.8</v>
      </c>
      <c r="AM41">
        <f t="shared" si="9"/>
        <v>101.1</v>
      </c>
      <c r="AN41">
        <f t="shared" si="10"/>
        <v>110.4</v>
      </c>
      <c r="AO41">
        <f t="shared" si="11"/>
        <v>112.9</v>
      </c>
      <c r="AP41">
        <f t="shared" si="12"/>
        <v>117.8</v>
      </c>
      <c r="AQ41">
        <f t="shared" si="13"/>
        <v>115.3</v>
      </c>
      <c r="AR41">
        <f t="shared" si="14"/>
        <v>114.2</v>
      </c>
      <c r="AS41">
        <f t="shared" si="15"/>
        <v>117.1</v>
      </c>
      <c r="AT41">
        <f t="shared" si="16"/>
        <v>114.5</v>
      </c>
      <c r="AU41">
        <f t="shared" si="17"/>
        <v>116.7</v>
      </c>
      <c r="AV41">
        <f t="shared" si="18"/>
        <v>112.5</v>
      </c>
      <c r="AW41">
        <f t="shared" si="19"/>
        <v>113.2</v>
      </c>
      <c r="AX41">
        <f t="shared" si="20"/>
        <v>112.9</v>
      </c>
      <c r="AY41">
        <f t="shared" si="21"/>
        <v>110.9</v>
      </c>
      <c r="AZ41">
        <f t="shared" si="22"/>
        <v>110.8</v>
      </c>
      <c r="BA41">
        <f t="shared" si="23"/>
        <v>109.9</v>
      </c>
      <c r="BB41">
        <f t="shared" si="24"/>
        <v>112</v>
      </c>
      <c r="BC41">
        <f t="shared" si="25"/>
        <v>108.7</v>
      </c>
      <c r="BD41">
        <f t="shared" si="26"/>
        <v>110.9</v>
      </c>
      <c r="BE41">
        <f t="shared" si="27"/>
        <v>114</v>
      </c>
      <c r="BF41">
        <f t="shared" si="28"/>
        <v>1482.2</v>
      </c>
      <c r="BG41">
        <f t="shared" si="29"/>
        <v>348.3</v>
      </c>
      <c r="BH41">
        <f t="shared" si="30"/>
        <v>219.60000000000002</v>
      </c>
      <c r="BI41">
        <f t="shared" si="31"/>
        <v>337.4</v>
      </c>
      <c r="BJ41">
        <f t="shared" si="32"/>
        <v>335</v>
      </c>
      <c r="BK41">
        <f t="shared" si="33"/>
        <v>224</v>
      </c>
    </row>
    <row r="42" spans="1:63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1"/>
        <v>121.9</v>
      </c>
      <c r="AF42">
        <f t="shared" si="2"/>
        <v>122</v>
      </c>
      <c r="AG42">
        <f t="shared" si="3"/>
        <v>124.5</v>
      </c>
      <c r="AH42">
        <f t="shared" si="4"/>
        <v>115.2</v>
      </c>
      <c r="AI42">
        <f t="shared" si="5"/>
        <v>102.5</v>
      </c>
      <c r="AJ42">
        <f t="shared" si="6"/>
        <v>114.1</v>
      </c>
      <c r="AK42">
        <f t="shared" si="7"/>
        <v>111.5</v>
      </c>
      <c r="AL42">
        <f t="shared" si="8"/>
        <v>108.2</v>
      </c>
      <c r="AM42">
        <f t="shared" si="9"/>
        <v>95.4</v>
      </c>
      <c r="AN42">
        <f t="shared" si="10"/>
        <v>113.5</v>
      </c>
      <c r="AO42">
        <f t="shared" si="11"/>
        <v>112.1</v>
      </c>
      <c r="AP42">
        <f t="shared" si="12"/>
        <v>119.9</v>
      </c>
      <c r="AQ42">
        <f t="shared" si="13"/>
        <v>115.2</v>
      </c>
      <c r="AR42">
        <f t="shared" si="14"/>
        <v>116.2</v>
      </c>
      <c r="AS42">
        <f t="shared" si="15"/>
        <v>115.3</v>
      </c>
      <c r="AT42">
        <f t="shared" si="16"/>
        <v>111.7</v>
      </c>
      <c r="AU42">
        <f t="shared" si="17"/>
        <v>114.7</v>
      </c>
      <c r="AV42">
        <f t="shared" si="18"/>
        <v>112.5</v>
      </c>
      <c r="AW42">
        <f t="shared" si="19"/>
        <v>111.1</v>
      </c>
      <c r="AX42">
        <f t="shared" si="20"/>
        <v>112.6</v>
      </c>
      <c r="AY42">
        <f t="shared" si="21"/>
        <v>110.4</v>
      </c>
      <c r="AZ42">
        <f t="shared" si="22"/>
        <v>111.3</v>
      </c>
      <c r="BA42">
        <f t="shared" si="23"/>
        <v>110.3</v>
      </c>
      <c r="BB42">
        <f t="shared" si="24"/>
        <v>111.6</v>
      </c>
      <c r="BC42">
        <f t="shared" si="25"/>
        <v>108.7</v>
      </c>
      <c r="BD42">
        <f t="shared" si="26"/>
        <v>111</v>
      </c>
      <c r="BE42">
        <f t="shared" si="27"/>
        <v>113.1</v>
      </c>
      <c r="BF42">
        <f t="shared" si="28"/>
        <v>1476</v>
      </c>
      <c r="BG42">
        <f t="shared" si="29"/>
        <v>341.7</v>
      </c>
      <c r="BH42">
        <f t="shared" si="30"/>
        <v>219.10000000000002</v>
      </c>
      <c r="BI42">
        <f t="shared" si="31"/>
        <v>336.7</v>
      </c>
      <c r="BJ42">
        <f t="shared" si="32"/>
        <v>337.5</v>
      </c>
      <c r="BK42">
        <f t="shared" si="33"/>
        <v>222.39999999999998</v>
      </c>
    </row>
    <row r="43" spans="1:63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1"/>
        <v>120.2</v>
      </c>
      <c r="AF43">
        <f t="shared" si="2"/>
        <v>119.2</v>
      </c>
      <c r="AG43">
        <f t="shared" si="3"/>
        <v>122.5</v>
      </c>
      <c r="AH43">
        <f t="shared" si="4"/>
        <v>115.1</v>
      </c>
      <c r="AI43">
        <f t="shared" si="5"/>
        <v>106.6</v>
      </c>
      <c r="AJ43">
        <f t="shared" si="6"/>
        <v>115.4</v>
      </c>
      <c r="AK43">
        <f t="shared" si="7"/>
        <v>114.5</v>
      </c>
      <c r="AL43">
        <f t="shared" si="8"/>
        <v>109.3</v>
      </c>
      <c r="AM43">
        <f t="shared" si="9"/>
        <v>99.2</v>
      </c>
      <c r="AN43">
        <f t="shared" si="10"/>
        <v>111.4</v>
      </c>
      <c r="AO43">
        <f t="shared" si="11"/>
        <v>112.6</v>
      </c>
      <c r="AP43">
        <f t="shared" si="12"/>
        <v>118.8</v>
      </c>
      <c r="AQ43">
        <f t="shared" si="13"/>
        <v>115.3</v>
      </c>
      <c r="AR43">
        <f t="shared" si="14"/>
        <v>114.7</v>
      </c>
      <c r="AS43">
        <f t="shared" si="15"/>
        <v>116.4</v>
      </c>
      <c r="AT43">
        <f t="shared" si="16"/>
        <v>113.3</v>
      </c>
      <c r="AU43">
        <f t="shared" si="17"/>
        <v>115.9</v>
      </c>
      <c r="AV43">
        <f t="shared" si="18"/>
        <v>112.5</v>
      </c>
      <c r="AW43">
        <f t="shared" si="19"/>
        <v>112.4</v>
      </c>
      <c r="AX43">
        <f t="shared" si="20"/>
        <v>112.8</v>
      </c>
      <c r="AY43">
        <f t="shared" si="21"/>
        <v>110.7</v>
      </c>
      <c r="AZ43">
        <f t="shared" si="22"/>
        <v>111.1</v>
      </c>
      <c r="BA43">
        <f t="shared" si="23"/>
        <v>110.1</v>
      </c>
      <c r="BB43">
        <f t="shared" si="24"/>
        <v>111.8</v>
      </c>
      <c r="BC43">
        <f t="shared" si="25"/>
        <v>108.7</v>
      </c>
      <c r="BD43">
        <f t="shared" si="26"/>
        <v>110.9</v>
      </c>
      <c r="BE43">
        <f t="shared" si="27"/>
        <v>113.6</v>
      </c>
      <c r="BF43">
        <f t="shared" si="28"/>
        <v>1480.1</v>
      </c>
      <c r="BG43">
        <f t="shared" si="29"/>
        <v>345.6</v>
      </c>
      <c r="BH43">
        <f t="shared" si="30"/>
        <v>219.4</v>
      </c>
      <c r="BI43">
        <f t="shared" si="31"/>
        <v>337.1</v>
      </c>
      <c r="BJ43">
        <f t="shared" si="32"/>
        <v>335.70000000000005</v>
      </c>
      <c r="BK43">
        <f t="shared" si="33"/>
        <v>223.5</v>
      </c>
    </row>
    <row r="44" spans="1:63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1"/>
        <v>120.1</v>
      </c>
      <c r="AF44">
        <f t="shared" si="2"/>
        <v>118.1</v>
      </c>
      <c r="AG44">
        <f t="shared" si="3"/>
        <v>120.7</v>
      </c>
      <c r="AH44">
        <f t="shared" si="4"/>
        <v>116.1</v>
      </c>
      <c r="AI44">
        <f t="shared" si="5"/>
        <v>109.3</v>
      </c>
      <c r="AJ44">
        <f t="shared" si="6"/>
        <v>119.6</v>
      </c>
      <c r="AK44">
        <f t="shared" si="7"/>
        <v>117.9</v>
      </c>
      <c r="AL44">
        <f t="shared" si="8"/>
        <v>110.2</v>
      </c>
      <c r="AM44">
        <f t="shared" si="9"/>
        <v>101.2</v>
      </c>
      <c r="AN44">
        <f t="shared" si="10"/>
        <v>110.7</v>
      </c>
      <c r="AO44">
        <f t="shared" si="11"/>
        <v>113</v>
      </c>
      <c r="AP44">
        <f t="shared" si="12"/>
        <v>118.3</v>
      </c>
      <c r="AQ44">
        <f t="shared" si="13"/>
        <v>116.2</v>
      </c>
      <c r="AR44">
        <f t="shared" si="14"/>
        <v>114.6</v>
      </c>
      <c r="AS44">
        <f t="shared" si="15"/>
        <v>117.5</v>
      </c>
      <c r="AT44">
        <f t="shared" si="16"/>
        <v>114.9</v>
      </c>
      <c r="AU44">
        <f t="shared" si="17"/>
        <v>117.2</v>
      </c>
      <c r="AV44">
        <f t="shared" si="18"/>
        <v>113.2</v>
      </c>
      <c r="AW44">
        <f t="shared" si="19"/>
        <v>113.4</v>
      </c>
      <c r="AX44">
        <f t="shared" si="20"/>
        <v>113.4</v>
      </c>
      <c r="AY44">
        <f t="shared" si="21"/>
        <v>111.4</v>
      </c>
      <c r="AZ44">
        <f t="shared" si="22"/>
        <v>111.2</v>
      </c>
      <c r="BA44">
        <f t="shared" si="23"/>
        <v>110.2</v>
      </c>
      <c r="BB44">
        <f t="shared" si="24"/>
        <v>112.4</v>
      </c>
      <c r="BC44">
        <f t="shared" si="25"/>
        <v>108.9</v>
      </c>
      <c r="BD44">
        <f t="shared" si="26"/>
        <v>111.3</v>
      </c>
      <c r="BE44">
        <f t="shared" si="27"/>
        <v>114.6</v>
      </c>
      <c r="BF44">
        <f t="shared" si="28"/>
        <v>1491.4</v>
      </c>
      <c r="BG44">
        <f t="shared" si="29"/>
        <v>349.6</v>
      </c>
      <c r="BH44">
        <f t="shared" si="30"/>
        <v>220.3</v>
      </c>
      <c r="BI44">
        <f t="shared" si="31"/>
        <v>339</v>
      </c>
      <c r="BJ44">
        <f t="shared" si="32"/>
        <v>336.1</v>
      </c>
      <c r="BK44">
        <f t="shared" si="33"/>
        <v>224.60000000000002</v>
      </c>
    </row>
    <row r="45" spans="1:63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1"/>
        <v>122.1</v>
      </c>
      <c r="AF45">
        <f t="shared" si="2"/>
        <v>121.4</v>
      </c>
      <c r="AG45">
        <f t="shared" si="3"/>
        <v>121.5</v>
      </c>
      <c r="AH45">
        <f t="shared" si="4"/>
        <v>116.2</v>
      </c>
      <c r="AI45">
        <f t="shared" si="5"/>
        <v>102.8</v>
      </c>
      <c r="AJ45">
        <f t="shared" si="6"/>
        <v>117.7</v>
      </c>
      <c r="AK45">
        <f t="shared" si="7"/>
        <v>113.3</v>
      </c>
      <c r="AL45">
        <f t="shared" si="8"/>
        <v>108.9</v>
      </c>
      <c r="AM45">
        <f t="shared" si="9"/>
        <v>96.3</v>
      </c>
      <c r="AN45">
        <f t="shared" si="10"/>
        <v>114.1</v>
      </c>
      <c r="AO45">
        <f t="shared" si="11"/>
        <v>112.2</v>
      </c>
      <c r="AP45">
        <f t="shared" si="12"/>
        <v>120.5</v>
      </c>
      <c r="AQ45">
        <f t="shared" si="13"/>
        <v>116</v>
      </c>
      <c r="AR45">
        <f t="shared" si="14"/>
        <v>116.7</v>
      </c>
      <c r="AS45">
        <f t="shared" si="15"/>
        <v>115.8</v>
      </c>
      <c r="AT45">
        <f t="shared" si="16"/>
        <v>112.1</v>
      </c>
      <c r="AU45">
        <f t="shared" si="17"/>
        <v>115.2</v>
      </c>
      <c r="AV45">
        <f t="shared" si="18"/>
        <v>113.2</v>
      </c>
      <c r="AW45">
        <f t="shared" si="19"/>
        <v>110.9</v>
      </c>
      <c r="AX45">
        <f t="shared" si="20"/>
        <v>113</v>
      </c>
      <c r="AY45">
        <f t="shared" si="21"/>
        <v>110.8</v>
      </c>
      <c r="AZ45">
        <f t="shared" si="22"/>
        <v>111.6</v>
      </c>
      <c r="BA45">
        <f t="shared" si="23"/>
        <v>110.9</v>
      </c>
      <c r="BB45">
        <f t="shared" si="24"/>
        <v>111.8</v>
      </c>
      <c r="BC45">
        <f t="shared" si="25"/>
        <v>109.2</v>
      </c>
      <c r="BD45">
        <f t="shared" si="26"/>
        <v>111.4</v>
      </c>
      <c r="BE45">
        <f t="shared" si="27"/>
        <v>113.7</v>
      </c>
      <c r="BF45">
        <f t="shared" si="28"/>
        <v>1483</v>
      </c>
      <c r="BG45">
        <f t="shared" si="29"/>
        <v>343.09999999999997</v>
      </c>
      <c r="BH45">
        <f t="shared" si="30"/>
        <v>220</v>
      </c>
      <c r="BI45">
        <f t="shared" si="31"/>
        <v>338</v>
      </c>
      <c r="BJ45">
        <f t="shared" si="32"/>
        <v>339</v>
      </c>
      <c r="BK45">
        <f t="shared" si="33"/>
        <v>222.5</v>
      </c>
    </row>
    <row r="46" spans="1:63" x14ac:dyDescent="0.35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1"/>
        <v>120.7</v>
      </c>
      <c r="AF46">
        <f t="shared" si="2"/>
        <v>119.3</v>
      </c>
      <c r="AG46">
        <f t="shared" si="3"/>
        <v>121</v>
      </c>
      <c r="AH46">
        <f t="shared" si="4"/>
        <v>116.1</v>
      </c>
      <c r="AI46">
        <f t="shared" si="5"/>
        <v>106.9</v>
      </c>
      <c r="AJ46">
        <f t="shared" si="6"/>
        <v>118.7</v>
      </c>
      <c r="AK46">
        <f t="shared" si="7"/>
        <v>116.3</v>
      </c>
      <c r="AL46">
        <f t="shared" si="8"/>
        <v>109.8</v>
      </c>
      <c r="AM46">
        <f t="shared" si="9"/>
        <v>99.6</v>
      </c>
      <c r="AN46">
        <f t="shared" si="10"/>
        <v>111.8</v>
      </c>
      <c r="AO46">
        <f t="shared" si="11"/>
        <v>112.7</v>
      </c>
      <c r="AP46">
        <f t="shared" si="12"/>
        <v>119.3</v>
      </c>
      <c r="AQ46">
        <f t="shared" si="13"/>
        <v>116.1</v>
      </c>
      <c r="AR46">
        <f t="shared" si="14"/>
        <v>115.2</v>
      </c>
      <c r="AS46">
        <f t="shared" si="15"/>
        <v>116.8</v>
      </c>
      <c r="AT46">
        <f t="shared" si="16"/>
        <v>113.7</v>
      </c>
      <c r="AU46">
        <f t="shared" si="17"/>
        <v>116.4</v>
      </c>
      <c r="AV46">
        <f t="shared" si="18"/>
        <v>113.2</v>
      </c>
      <c r="AW46">
        <f t="shared" si="19"/>
        <v>112.5</v>
      </c>
      <c r="AX46">
        <f t="shared" si="20"/>
        <v>113.2</v>
      </c>
      <c r="AY46">
        <f t="shared" si="21"/>
        <v>111.2</v>
      </c>
      <c r="AZ46">
        <f t="shared" si="22"/>
        <v>111.4</v>
      </c>
      <c r="BA46">
        <f t="shared" si="23"/>
        <v>110.6</v>
      </c>
      <c r="BB46">
        <f t="shared" si="24"/>
        <v>112</v>
      </c>
      <c r="BC46">
        <f t="shared" si="25"/>
        <v>109</v>
      </c>
      <c r="BD46">
        <f t="shared" si="26"/>
        <v>111.3</v>
      </c>
      <c r="BE46">
        <f t="shared" si="27"/>
        <v>114.2</v>
      </c>
      <c r="BF46">
        <f t="shared" si="28"/>
        <v>1488.2999999999997</v>
      </c>
      <c r="BG46">
        <f t="shared" si="29"/>
        <v>346.9</v>
      </c>
      <c r="BH46">
        <f t="shared" si="30"/>
        <v>220.2</v>
      </c>
      <c r="BI46">
        <f t="shared" si="31"/>
        <v>338.4</v>
      </c>
      <c r="BJ46">
        <f t="shared" si="32"/>
        <v>337.1</v>
      </c>
      <c r="BK46">
        <f t="shared" si="33"/>
        <v>223.9</v>
      </c>
    </row>
    <row r="47" spans="1:63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1"/>
        <v>120.2</v>
      </c>
      <c r="AF47">
        <f t="shared" si="2"/>
        <v>118.9</v>
      </c>
      <c r="AG47">
        <f t="shared" si="3"/>
        <v>118.1</v>
      </c>
      <c r="AH47">
        <f t="shared" si="4"/>
        <v>117</v>
      </c>
      <c r="AI47">
        <f t="shared" si="5"/>
        <v>109.7</v>
      </c>
      <c r="AJ47">
        <f t="shared" si="6"/>
        <v>125.5</v>
      </c>
      <c r="AK47">
        <f t="shared" si="7"/>
        <v>120.5</v>
      </c>
      <c r="AL47">
        <f t="shared" si="8"/>
        <v>111</v>
      </c>
      <c r="AM47">
        <f t="shared" si="9"/>
        <v>102.6</v>
      </c>
      <c r="AN47">
        <f t="shared" si="10"/>
        <v>111.2</v>
      </c>
      <c r="AO47">
        <f t="shared" si="11"/>
        <v>113.5</v>
      </c>
      <c r="AP47">
        <f t="shared" si="12"/>
        <v>118.7</v>
      </c>
      <c r="AQ47">
        <f t="shared" si="13"/>
        <v>117.2</v>
      </c>
      <c r="AR47">
        <f t="shared" si="14"/>
        <v>115.4</v>
      </c>
      <c r="AS47">
        <f t="shared" si="15"/>
        <v>118.1</v>
      </c>
      <c r="AT47">
        <f t="shared" si="16"/>
        <v>116.1</v>
      </c>
      <c r="AU47">
        <f t="shared" si="17"/>
        <v>117.8</v>
      </c>
      <c r="AV47">
        <f t="shared" si="18"/>
        <v>113.9</v>
      </c>
      <c r="AW47">
        <f t="shared" si="19"/>
        <v>113.4</v>
      </c>
      <c r="AX47">
        <f t="shared" si="20"/>
        <v>113.7</v>
      </c>
      <c r="AY47">
        <f t="shared" si="21"/>
        <v>111.8</v>
      </c>
      <c r="AZ47">
        <f t="shared" si="22"/>
        <v>111.2</v>
      </c>
      <c r="BA47">
        <f t="shared" si="23"/>
        <v>110.5</v>
      </c>
      <c r="BB47">
        <f t="shared" si="24"/>
        <v>113</v>
      </c>
      <c r="BC47">
        <f t="shared" si="25"/>
        <v>108.9</v>
      </c>
      <c r="BD47">
        <f t="shared" si="26"/>
        <v>111.5</v>
      </c>
      <c r="BE47">
        <f t="shared" si="27"/>
        <v>115.4</v>
      </c>
      <c r="BF47">
        <f t="shared" si="28"/>
        <v>1504.1000000000001</v>
      </c>
      <c r="BG47">
        <f t="shared" si="29"/>
        <v>352</v>
      </c>
      <c r="BH47">
        <f t="shared" si="30"/>
        <v>220.7</v>
      </c>
      <c r="BI47">
        <f t="shared" si="31"/>
        <v>340.6</v>
      </c>
      <c r="BJ47">
        <f t="shared" si="32"/>
        <v>337.4</v>
      </c>
      <c r="BK47">
        <f t="shared" si="33"/>
        <v>224.60000000000002</v>
      </c>
    </row>
    <row r="48" spans="1:63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1"/>
        <v>122.5</v>
      </c>
      <c r="AF48">
        <f t="shared" si="2"/>
        <v>121.7</v>
      </c>
      <c r="AG48">
        <f t="shared" si="3"/>
        <v>113.3</v>
      </c>
      <c r="AH48">
        <f t="shared" si="4"/>
        <v>117</v>
      </c>
      <c r="AI48">
        <f t="shared" si="5"/>
        <v>103.1</v>
      </c>
      <c r="AJ48">
        <f t="shared" si="6"/>
        <v>126.7</v>
      </c>
      <c r="AK48">
        <f t="shared" si="7"/>
        <v>121.2</v>
      </c>
      <c r="AL48">
        <f t="shared" si="8"/>
        <v>111</v>
      </c>
      <c r="AM48">
        <f t="shared" si="9"/>
        <v>100.3</v>
      </c>
      <c r="AN48">
        <f t="shared" si="10"/>
        <v>115.3</v>
      </c>
      <c r="AO48">
        <f t="shared" si="11"/>
        <v>112.7</v>
      </c>
      <c r="AP48">
        <f t="shared" si="12"/>
        <v>121</v>
      </c>
      <c r="AQ48">
        <f t="shared" si="13"/>
        <v>118.2</v>
      </c>
      <c r="AR48">
        <f t="shared" si="14"/>
        <v>117.6</v>
      </c>
      <c r="AS48">
        <f t="shared" si="15"/>
        <v>116.3</v>
      </c>
      <c r="AT48">
        <f t="shared" si="16"/>
        <v>112.5</v>
      </c>
      <c r="AU48">
        <f t="shared" si="17"/>
        <v>115.7</v>
      </c>
      <c r="AV48">
        <f t="shared" si="18"/>
        <v>113.9</v>
      </c>
      <c r="AW48">
        <f t="shared" si="19"/>
        <v>110.9</v>
      </c>
      <c r="AX48">
        <f t="shared" si="20"/>
        <v>113.4</v>
      </c>
      <c r="AY48">
        <f t="shared" si="21"/>
        <v>111</v>
      </c>
      <c r="AZ48">
        <f t="shared" si="22"/>
        <v>111.2</v>
      </c>
      <c r="BA48">
        <f t="shared" si="23"/>
        <v>111.2</v>
      </c>
      <c r="BB48">
        <f t="shared" si="24"/>
        <v>112.5</v>
      </c>
      <c r="BC48">
        <f t="shared" si="25"/>
        <v>109.1</v>
      </c>
      <c r="BD48">
        <f t="shared" si="26"/>
        <v>111.4</v>
      </c>
      <c r="BE48">
        <f t="shared" si="27"/>
        <v>114.7</v>
      </c>
      <c r="BF48">
        <f t="shared" si="28"/>
        <v>1504.0000000000002</v>
      </c>
      <c r="BG48">
        <f t="shared" si="29"/>
        <v>344.5</v>
      </c>
      <c r="BH48">
        <f t="shared" si="30"/>
        <v>220.1</v>
      </c>
      <c r="BI48">
        <f t="shared" si="31"/>
        <v>339.8</v>
      </c>
      <c r="BJ48">
        <f t="shared" si="32"/>
        <v>340.20000000000005</v>
      </c>
      <c r="BK48">
        <f t="shared" si="33"/>
        <v>222.10000000000002</v>
      </c>
    </row>
    <row r="49" spans="1:63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1"/>
        <v>120.9</v>
      </c>
      <c r="AF49">
        <f t="shared" si="2"/>
        <v>119.9</v>
      </c>
      <c r="AG49">
        <f t="shared" si="3"/>
        <v>116.2</v>
      </c>
      <c r="AH49">
        <f t="shared" si="4"/>
        <v>117</v>
      </c>
      <c r="AI49">
        <f t="shared" si="5"/>
        <v>107.3</v>
      </c>
      <c r="AJ49">
        <f t="shared" si="6"/>
        <v>126.1</v>
      </c>
      <c r="AK49">
        <f t="shared" si="7"/>
        <v>120.7</v>
      </c>
      <c r="AL49">
        <f t="shared" si="8"/>
        <v>111</v>
      </c>
      <c r="AM49">
        <f t="shared" si="9"/>
        <v>101.8</v>
      </c>
      <c r="AN49">
        <f t="shared" si="10"/>
        <v>112.6</v>
      </c>
      <c r="AO49">
        <f t="shared" si="11"/>
        <v>113.2</v>
      </c>
      <c r="AP49">
        <f t="shared" si="12"/>
        <v>119.8</v>
      </c>
      <c r="AQ49">
        <f t="shared" si="13"/>
        <v>117.6</v>
      </c>
      <c r="AR49">
        <f t="shared" si="14"/>
        <v>116</v>
      </c>
      <c r="AS49">
        <f t="shared" si="15"/>
        <v>117.4</v>
      </c>
      <c r="AT49">
        <f t="shared" si="16"/>
        <v>114.6</v>
      </c>
      <c r="AU49">
        <f t="shared" si="17"/>
        <v>117</v>
      </c>
      <c r="AV49">
        <f t="shared" si="18"/>
        <v>113.9</v>
      </c>
      <c r="AW49">
        <f t="shared" si="19"/>
        <v>112.5</v>
      </c>
      <c r="AX49">
        <f t="shared" si="20"/>
        <v>113.6</v>
      </c>
      <c r="AY49">
        <f t="shared" si="21"/>
        <v>111.5</v>
      </c>
      <c r="AZ49">
        <f t="shared" si="22"/>
        <v>111.2</v>
      </c>
      <c r="BA49">
        <f t="shared" si="23"/>
        <v>110.9</v>
      </c>
      <c r="BB49">
        <f t="shared" si="24"/>
        <v>112.7</v>
      </c>
      <c r="BC49">
        <f t="shared" si="25"/>
        <v>109</v>
      </c>
      <c r="BD49">
        <f t="shared" si="26"/>
        <v>111.5</v>
      </c>
      <c r="BE49">
        <f t="shared" si="27"/>
        <v>115.1</v>
      </c>
      <c r="BF49">
        <f t="shared" si="28"/>
        <v>1504.1</v>
      </c>
      <c r="BG49">
        <f t="shared" si="29"/>
        <v>349</v>
      </c>
      <c r="BH49">
        <f t="shared" si="30"/>
        <v>220.5</v>
      </c>
      <c r="BI49">
        <f t="shared" si="31"/>
        <v>340.20000000000005</v>
      </c>
      <c r="BJ49">
        <f t="shared" si="32"/>
        <v>338.4</v>
      </c>
      <c r="BK49">
        <f t="shared" si="33"/>
        <v>223.7</v>
      </c>
    </row>
    <row r="50" spans="1:63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1"/>
        <v>120.3</v>
      </c>
      <c r="AF50">
        <f t="shared" si="2"/>
        <v>120.2</v>
      </c>
      <c r="AG50">
        <f t="shared" si="3"/>
        <v>116.9</v>
      </c>
      <c r="AH50">
        <f t="shared" si="4"/>
        <v>118</v>
      </c>
      <c r="AI50">
        <f t="shared" si="5"/>
        <v>110.1</v>
      </c>
      <c r="AJ50">
        <f t="shared" si="6"/>
        <v>126.3</v>
      </c>
      <c r="AK50">
        <f t="shared" si="7"/>
        <v>123.9</v>
      </c>
      <c r="AL50">
        <f t="shared" si="8"/>
        <v>111.5</v>
      </c>
      <c r="AM50">
        <f t="shared" si="9"/>
        <v>103.5</v>
      </c>
      <c r="AN50">
        <f t="shared" si="10"/>
        <v>111.6</v>
      </c>
      <c r="AO50">
        <f t="shared" si="11"/>
        <v>114.2</v>
      </c>
      <c r="AP50">
        <f t="shared" si="12"/>
        <v>119.2</v>
      </c>
      <c r="AQ50">
        <f t="shared" si="13"/>
        <v>118.2</v>
      </c>
      <c r="AR50">
        <f t="shared" si="14"/>
        <v>116.3</v>
      </c>
      <c r="AS50">
        <f t="shared" si="15"/>
        <v>118.7</v>
      </c>
      <c r="AT50">
        <f t="shared" si="16"/>
        <v>116.8</v>
      </c>
      <c r="AU50">
        <f t="shared" si="17"/>
        <v>118.5</v>
      </c>
      <c r="AV50">
        <f t="shared" si="18"/>
        <v>114.3</v>
      </c>
      <c r="AW50">
        <f t="shared" si="19"/>
        <v>113.4</v>
      </c>
      <c r="AX50">
        <f t="shared" si="20"/>
        <v>114.1</v>
      </c>
      <c r="AY50">
        <f t="shared" si="21"/>
        <v>112.1</v>
      </c>
      <c r="AZ50">
        <f t="shared" si="22"/>
        <v>111.4</v>
      </c>
      <c r="BA50">
        <f t="shared" si="23"/>
        <v>110.9</v>
      </c>
      <c r="BB50">
        <f t="shared" si="24"/>
        <v>113.1</v>
      </c>
      <c r="BC50">
        <f t="shared" si="25"/>
        <v>108.9</v>
      </c>
      <c r="BD50">
        <f t="shared" si="26"/>
        <v>111.8</v>
      </c>
      <c r="BE50">
        <f t="shared" si="27"/>
        <v>116</v>
      </c>
      <c r="BF50">
        <f t="shared" si="28"/>
        <v>1513.8999999999999</v>
      </c>
      <c r="BG50">
        <f t="shared" si="29"/>
        <v>354</v>
      </c>
      <c r="BH50">
        <f t="shared" si="30"/>
        <v>221</v>
      </c>
      <c r="BI50">
        <f t="shared" si="31"/>
        <v>341.5</v>
      </c>
      <c r="BJ50">
        <f t="shared" si="32"/>
        <v>339</v>
      </c>
      <c r="BK50">
        <f t="shared" si="33"/>
        <v>224.8</v>
      </c>
    </row>
    <row r="51" spans="1:63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1"/>
        <v>122.7</v>
      </c>
      <c r="AF51">
        <f t="shared" si="2"/>
        <v>124.1</v>
      </c>
      <c r="AG51">
        <f t="shared" si="3"/>
        <v>114.2</v>
      </c>
      <c r="AH51">
        <f t="shared" si="4"/>
        <v>119.1</v>
      </c>
      <c r="AI51">
        <f t="shared" si="5"/>
        <v>103.5</v>
      </c>
      <c r="AJ51">
        <f t="shared" si="6"/>
        <v>129.19999999999999</v>
      </c>
      <c r="AK51">
        <f t="shared" si="7"/>
        <v>127</v>
      </c>
      <c r="AL51">
        <f t="shared" si="8"/>
        <v>112.6</v>
      </c>
      <c r="AM51">
        <f t="shared" si="9"/>
        <v>101.3</v>
      </c>
      <c r="AN51">
        <f t="shared" si="10"/>
        <v>117</v>
      </c>
      <c r="AO51">
        <f t="shared" si="11"/>
        <v>112.9</v>
      </c>
      <c r="AP51">
        <f t="shared" si="12"/>
        <v>121.7</v>
      </c>
      <c r="AQ51">
        <f t="shared" si="13"/>
        <v>120</v>
      </c>
      <c r="AR51">
        <f t="shared" si="14"/>
        <v>118.3</v>
      </c>
      <c r="AS51">
        <f t="shared" si="15"/>
        <v>116.8</v>
      </c>
      <c r="AT51">
        <f t="shared" si="16"/>
        <v>112.9</v>
      </c>
      <c r="AU51">
        <f t="shared" si="17"/>
        <v>116.2</v>
      </c>
      <c r="AV51">
        <f t="shared" si="18"/>
        <v>114.3</v>
      </c>
      <c r="AW51">
        <f t="shared" si="19"/>
        <v>111.1</v>
      </c>
      <c r="AX51">
        <f t="shared" si="20"/>
        <v>114.1</v>
      </c>
      <c r="AY51">
        <f t="shared" si="21"/>
        <v>111.2</v>
      </c>
      <c r="AZ51">
        <f t="shared" si="22"/>
        <v>111.3</v>
      </c>
      <c r="BA51">
        <f t="shared" si="23"/>
        <v>111.5</v>
      </c>
      <c r="BB51">
        <f t="shared" si="24"/>
        <v>112.9</v>
      </c>
      <c r="BC51">
        <f t="shared" si="25"/>
        <v>109.3</v>
      </c>
      <c r="BD51">
        <f t="shared" si="26"/>
        <v>111.7</v>
      </c>
      <c r="BE51">
        <f t="shared" si="27"/>
        <v>115.6</v>
      </c>
      <c r="BF51">
        <f t="shared" si="28"/>
        <v>1525.3000000000002</v>
      </c>
      <c r="BG51">
        <f t="shared" si="29"/>
        <v>345.9</v>
      </c>
      <c r="BH51">
        <f t="shared" si="30"/>
        <v>220.5</v>
      </c>
      <c r="BI51">
        <f t="shared" si="31"/>
        <v>341.3</v>
      </c>
      <c r="BJ51">
        <f t="shared" si="32"/>
        <v>341.5</v>
      </c>
      <c r="BK51">
        <f t="shared" si="33"/>
        <v>222.39999999999998</v>
      </c>
    </row>
    <row r="52" spans="1:63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1"/>
        <v>121.1</v>
      </c>
      <c r="AF52">
        <f t="shared" si="2"/>
        <v>121.6</v>
      </c>
      <c r="AG52">
        <f t="shared" si="3"/>
        <v>115.9</v>
      </c>
      <c r="AH52">
        <f t="shared" si="4"/>
        <v>118.4</v>
      </c>
      <c r="AI52">
        <f t="shared" si="5"/>
        <v>107.7</v>
      </c>
      <c r="AJ52">
        <f t="shared" si="6"/>
        <v>127.7</v>
      </c>
      <c r="AK52">
        <f t="shared" si="7"/>
        <v>125</v>
      </c>
      <c r="AL52">
        <f t="shared" si="8"/>
        <v>111.9</v>
      </c>
      <c r="AM52">
        <f t="shared" si="9"/>
        <v>102.8</v>
      </c>
      <c r="AN52">
        <f t="shared" si="10"/>
        <v>113.4</v>
      </c>
      <c r="AO52">
        <f t="shared" si="11"/>
        <v>113.7</v>
      </c>
      <c r="AP52">
        <f t="shared" si="12"/>
        <v>120.4</v>
      </c>
      <c r="AQ52">
        <f t="shared" si="13"/>
        <v>118.9</v>
      </c>
      <c r="AR52">
        <f t="shared" si="14"/>
        <v>116.8</v>
      </c>
      <c r="AS52">
        <f t="shared" si="15"/>
        <v>118</v>
      </c>
      <c r="AT52">
        <f t="shared" si="16"/>
        <v>115.2</v>
      </c>
      <c r="AU52">
        <f t="shared" si="17"/>
        <v>117.6</v>
      </c>
      <c r="AV52">
        <f t="shared" si="18"/>
        <v>114.3</v>
      </c>
      <c r="AW52">
        <f t="shared" si="19"/>
        <v>112.5</v>
      </c>
      <c r="AX52">
        <f t="shared" si="20"/>
        <v>114.1</v>
      </c>
      <c r="AY52">
        <f t="shared" si="21"/>
        <v>111.8</v>
      </c>
      <c r="AZ52">
        <f t="shared" si="22"/>
        <v>111.3</v>
      </c>
      <c r="BA52">
        <f t="shared" si="23"/>
        <v>111.2</v>
      </c>
      <c r="BB52">
        <f t="shared" si="24"/>
        <v>113</v>
      </c>
      <c r="BC52">
        <f t="shared" si="25"/>
        <v>109.1</v>
      </c>
      <c r="BD52">
        <f t="shared" si="26"/>
        <v>111.8</v>
      </c>
      <c r="BE52">
        <f t="shared" si="27"/>
        <v>115.8</v>
      </c>
      <c r="BF52">
        <f t="shared" si="28"/>
        <v>1518.5000000000005</v>
      </c>
      <c r="BG52">
        <f t="shared" si="29"/>
        <v>350.79999999999995</v>
      </c>
      <c r="BH52">
        <f t="shared" si="30"/>
        <v>220.89999999999998</v>
      </c>
      <c r="BI52">
        <f t="shared" si="31"/>
        <v>341.4</v>
      </c>
      <c r="BJ52">
        <f t="shared" si="32"/>
        <v>339.8</v>
      </c>
      <c r="BK52">
        <f t="shared" si="33"/>
        <v>223.8</v>
      </c>
    </row>
    <row r="53" spans="1:63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1"/>
        <v>120.7</v>
      </c>
      <c r="AF53">
        <f t="shared" si="2"/>
        <v>121.6</v>
      </c>
      <c r="AG53">
        <f t="shared" si="3"/>
        <v>116.1</v>
      </c>
      <c r="AH53">
        <f t="shared" si="4"/>
        <v>119.3</v>
      </c>
      <c r="AI53">
        <f t="shared" si="5"/>
        <v>110.3</v>
      </c>
      <c r="AJ53">
        <f t="shared" si="6"/>
        <v>125.8</v>
      </c>
      <c r="AK53">
        <f t="shared" si="7"/>
        <v>129.30000000000001</v>
      </c>
      <c r="AL53">
        <f t="shared" si="8"/>
        <v>112.2</v>
      </c>
      <c r="AM53">
        <f t="shared" si="9"/>
        <v>103.6</v>
      </c>
      <c r="AN53">
        <f t="shared" si="10"/>
        <v>112.3</v>
      </c>
      <c r="AO53">
        <f t="shared" si="11"/>
        <v>114.9</v>
      </c>
      <c r="AP53">
        <f t="shared" si="12"/>
        <v>120.1</v>
      </c>
      <c r="AQ53">
        <f t="shared" si="13"/>
        <v>119.5</v>
      </c>
      <c r="AR53">
        <f t="shared" si="14"/>
        <v>117.3</v>
      </c>
      <c r="AS53">
        <f t="shared" si="15"/>
        <v>119.7</v>
      </c>
      <c r="AT53">
        <f t="shared" si="16"/>
        <v>117.3</v>
      </c>
      <c r="AU53">
        <f t="shared" si="17"/>
        <v>119.3</v>
      </c>
      <c r="AV53">
        <f t="shared" si="18"/>
        <v>113.9</v>
      </c>
      <c r="AW53">
        <f t="shared" si="19"/>
        <v>114.4</v>
      </c>
      <c r="AX53">
        <f t="shared" si="20"/>
        <v>114.9</v>
      </c>
      <c r="AY53">
        <f t="shared" si="21"/>
        <v>112.8</v>
      </c>
      <c r="AZ53">
        <f t="shared" si="22"/>
        <v>112.2</v>
      </c>
      <c r="BA53">
        <f t="shared" si="23"/>
        <v>111.4</v>
      </c>
      <c r="BB53">
        <f t="shared" si="24"/>
        <v>114.3</v>
      </c>
      <c r="BC53">
        <f t="shared" si="25"/>
        <v>108</v>
      </c>
      <c r="BD53">
        <f t="shared" si="26"/>
        <v>112.3</v>
      </c>
      <c r="BE53">
        <f t="shared" si="27"/>
        <v>117</v>
      </c>
      <c r="BF53">
        <f t="shared" si="28"/>
        <v>1525.6999999999998</v>
      </c>
      <c r="BG53">
        <f t="shared" si="29"/>
        <v>356.3</v>
      </c>
      <c r="BH53">
        <f t="shared" si="30"/>
        <v>220.8</v>
      </c>
      <c r="BI53">
        <f t="shared" si="31"/>
        <v>343.1</v>
      </c>
      <c r="BJ53">
        <f t="shared" si="32"/>
        <v>341</v>
      </c>
      <c r="BK53">
        <f t="shared" si="33"/>
        <v>226.60000000000002</v>
      </c>
    </row>
    <row r="54" spans="1:63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1"/>
        <v>123.1</v>
      </c>
      <c r="AF54">
        <f t="shared" si="2"/>
        <v>125.9</v>
      </c>
      <c r="AG54">
        <f t="shared" si="3"/>
        <v>115.4</v>
      </c>
      <c r="AH54">
        <f t="shared" si="4"/>
        <v>120.4</v>
      </c>
      <c r="AI54">
        <f t="shared" si="5"/>
        <v>103.4</v>
      </c>
      <c r="AJ54">
        <f t="shared" si="6"/>
        <v>131.19999999999999</v>
      </c>
      <c r="AK54">
        <f t="shared" si="7"/>
        <v>137.5</v>
      </c>
      <c r="AL54">
        <f t="shared" si="8"/>
        <v>112.8</v>
      </c>
      <c r="AM54">
        <f t="shared" si="9"/>
        <v>101.4</v>
      </c>
      <c r="AN54">
        <f t="shared" si="10"/>
        <v>118.3</v>
      </c>
      <c r="AO54">
        <f t="shared" si="11"/>
        <v>113.2</v>
      </c>
      <c r="AP54">
        <f t="shared" si="12"/>
        <v>122.4</v>
      </c>
      <c r="AQ54">
        <f t="shared" si="13"/>
        <v>122</v>
      </c>
      <c r="AR54">
        <f t="shared" si="14"/>
        <v>119</v>
      </c>
      <c r="AS54">
        <f t="shared" si="15"/>
        <v>117.4</v>
      </c>
      <c r="AT54">
        <f t="shared" si="16"/>
        <v>113.2</v>
      </c>
      <c r="AU54">
        <f t="shared" si="17"/>
        <v>116.7</v>
      </c>
      <c r="AV54">
        <f t="shared" si="18"/>
        <v>113.9</v>
      </c>
      <c r="AW54">
        <f t="shared" si="19"/>
        <v>111.2</v>
      </c>
      <c r="AX54">
        <f t="shared" si="20"/>
        <v>114.3</v>
      </c>
      <c r="AY54">
        <f t="shared" si="21"/>
        <v>111.4</v>
      </c>
      <c r="AZ54">
        <f t="shared" si="22"/>
        <v>111.5</v>
      </c>
      <c r="BA54">
        <f t="shared" si="23"/>
        <v>111.8</v>
      </c>
      <c r="BB54">
        <f t="shared" si="24"/>
        <v>115.1</v>
      </c>
      <c r="BC54">
        <f t="shared" si="25"/>
        <v>108.7</v>
      </c>
      <c r="BD54">
        <f t="shared" si="26"/>
        <v>112.2</v>
      </c>
      <c r="BE54">
        <f t="shared" si="27"/>
        <v>116.4</v>
      </c>
      <c r="BF54">
        <f t="shared" si="28"/>
        <v>1547</v>
      </c>
      <c r="BG54">
        <f t="shared" si="29"/>
        <v>347.3</v>
      </c>
      <c r="BH54">
        <f t="shared" si="30"/>
        <v>220.10000000000002</v>
      </c>
      <c r="BI54">
        <f t="shared" si="31"/>
        <v>343.29999999999995</v>
      </c>
      <c r="BJ54">
        <f t="shared" si="32"/>
        <v>343</v>
      </c>
      <c r="BK54">
        <f t="shared" si="33"/>
        <v>222.7</v>
      </c>
    </row>
    <row r="55" spans="1:63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1"/>
        <v>121.5</v>
      </c>
      <c r="AF55">
        <f t="shared" si="2"/>
        <v>123.1</v>
      </c>
      <c r="AG55">
        <f t="shared" si="3"/>
        <v>115.8</v>
      </c>
      <c r="AH55">
        <f t="shared" si="4"/>
        <v>119.7</v>
      </c>
      <c r="AI55">
        <f t="shared" si="5"/>
        <v>107.8</v>
      </c>
      <c r="AJ55">
        <f t="shared" si="6"/>
        <v>128.30000000000001</v>
      </c>
      <c r="AK55">
        <f t="shared" si="7"/>
        <v>132.1</v>
      </c>
      <c r="AL55">
        <f t="shared" si="8"/>
        <v>112.4</v>
      </c>
      <c r="AM55">
        <f t="shared" si="9"/>
        <v>102.9</v>
      </c>
      <c r="AN55">
        <f t="shared" si="10"/>
        <v>114.3</v>
      </c>
      <c r="AO55">
        <f t="shared" si="11"/>
        <v>114.2</v>
      </c>
      <c r="AP55">
        <f t="shared" si="12"/>
        <v>121.2</v>
      </c>
      <c r="AQ55">
        <f t="shared" si="13"/>
        <v>120.4</v>
      </c>
      <c r="AR55">
        <f t="shared" si="14"/>
        <v>117.8</v>
      </c>
      <c r="AS55">
        <f t="shared" si="15"/>
        <v>118.8</v>
      </c>
      <c r="AT55">
        <f t="shared" si="16"/>
        <v>115.6</v>
      </c>
      <c r="AU55">
        <f t="shared" si="17"/>
        <v>118.3</v>
      </c>
      <c r="AV55">
        <f t="shared" si="18"/>
        <v>113.9</v>
      </c>
      <c r="AW55">
        <f t="shared" si="19"/>
        <v>113.2</v>
      </c>
      <c r="AX55">
        <f t="shared" si="20"/>
        <v>114.6</v>
      </c>
      <c r="AY55">
        <f t="shared" si="21"/>
        <v>112.3</v>
      </c>
      <c r="AZ55">
        <f t="shared" si="22"/>
        <v>111.8</v>
      </c>
      <c r="BA55">
        <f t="shared" si="23"/>
        <v>111.6</v>
      </c>
      <c r="BB55">
        <f t="shared" si="24"/>
        <v>114.8</v>
      </c>
      <c r="BC55">
        <f t="shared" si="25"/>
        <v>108.3</v>
      </c>
      <c r="BD55">
        <f t="shared" si="26"/>
        <v>112.3</v>
      </c>
      <c r="BE55">
        <f t="shared" si="27"/>
        <v>116.7</v>
      </c>
      <c r="BF55">
        <f t="shared" si="28"/>
        <v>1533.7000000000003</v>
      </c>
      <c r="BG55">
        <f t="shared" si="29"/>
        <v>352.7</v>
      </c>
      <c r="BH55">
        <f t="shared" si="30"/>
        <v>220.6</v>
      </c>
      <c r="BI55">
        <f t="shared" si="31"/>
        <v>343.29999999999995</v>
      </c>
      <c r="BJ55">
        <f t="shared" si="32"/>
        <v>341.7</v>
      </c>
      <c r="BK55">
        <f t="shared" si="33"/>
        <v>225</v>
      </c>
    </row>
    <row r="56" spans="1:63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1"/>
        <v>121.7</v>
      </c>
      <c r="AF56">
        <f t="shared" si="2"/>
        <v>122.5</v>
      </c>
      <c r="AG56">
        <f t="shared" si="3"/>
        <v>117.7</v>
      </c>
      <c r="AH56">
        <f t="shared" si="4"/>
        <v>120.6</v>
      </c>
      <c r="AI56">
        <f t="shared" si="5"/>
        <v>110.4</v>
      </c>
      <c r="AJ56">
        <f t="shared" si="6"/>
        <v>129.1</v>
      </c>
      <c r="AK56">
        <f t="shared" si="7"/>
        <v>150.1</v>
      </c>
      <c r="AL56">
        <f t="shared" si="8"/>
        <v>113.2</v>
      </c>
      <c r="AM56">
        <f t="shared" si="9"/>
        <v>104.8</v>
      </c>
      <c r="AN56">
        <f t="shared" si="10"/>
        <v>113.3</v>
      </c>
      <c r="AO56">
        <f t="shared" si="11"/>
        <v>115.6</v>
      </c>
      <c r="AP56">
        <f t="shared" si="12"/>
        <v>120.9</v>
      </c>
      <c r="AQ56">
        <f t="shared" si="13"/>
        <v>123.3</v>
      </c>
      <c r="AR56">
        <f t="shared" si="14"/>
        <v>118</v>
      </c>
      <c r="AS56">
        <f t="shared" si="15"/>
        <v>120.7</v>
      </c>
      <c r="AT56">
        <f t="shared" si="16"/>
        <v>118.3</v>
      </c>
      <c r="AU56">
        <f t="shared" si="17"/>
        <v>120.3</v>
      </c>
      <c r="AV56">
        <f t="shared" si="18"/>
        <v>114.8</v>
      </c>
      <c r="AW56">
        <f t="shared" si="19"/>
        <v>115.3</v>
      </c>
      <c r="AX56">
        <f t="shared" si="20"/>
        <v>115.4</v>
      </c>
      <c r="AY56">
        <f t="shared" si="21"/>
        <v>113.4</v>
      </c>
      <c r="AZ56">
        <f t="shared" si="22"/>
        <v>113.2</v>
      </c>
      <c r="BA56">
        <f t="shared" si="23"/>
        <v>111.8</v>
      </c>
      <c r="BB56">
        <f t="shared" si="24"/>
        <v>115.5</v>
      </c>
      <c r="BC56">
        <f t="shared" si="25"/>
        <v>108.8</v>
      </c>
      <c r="BD56">
        <f t="shared" si="26"/>
        <v>113.1</v>
      </c>
      <c r="BE56">
        <f t="shared" si="27"/>
        <v>119.5</v>
      </c>
      <c r="BF56">
        <f t="shared" si="28"/>
        <v>1563.2</v>
      </c>
      <c r="BG56">
        <f t="shared" si="29"/>
        <v>359.3</v>
      </c>
      <c r="BH56">
        <f t="shared" si="30"/>
        <v>222.2</v>
      </c>
      <c r="BI56">
        <f t="shared" si="31"/>
        <v>345.7</v>
      </c>
      <c r="BJ56">
        <f t="shared" si="32"/>
        <v>342.9</v>
      </c>
      <c r="BK56">
        <f t="shared" si="33"/>
        <v>228.5</v>
      </c>
    </row>
    <row r="57" spans="1:63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1"/>
        <v>123.8</v>
      </c>
      <c r="AF57">
        <f t="shared" si="2"/>
        <v>126.4</v>
      </c>
      <c r="AG57">
        <f t="shared" si="3"/>
        <v>118</v>
      </c>
      <c r="AH57">
        <f t="shared" si="4"/>
        <v>121.6</v>
      </c>
      <c r="AI57">
        <f t="shared" si="5"/>
        <v>103.5</v>
      </c>
      <c r="AJ57">
        <f t="shared" si="6"/>
        <v>133.69999999999999</v>
      </c>
      <c r="AK57">
        <f t="shared" si="7"/>
        <v>172.4</v>
      </c>
      <c r="AL57">
        <f t="shared" si="8"/>
        <v>113.1</v>
      </c>
      <c r="AM57">
        <f t="shared" si="9"/>
        <v>102.7</v>
      </c>
      <c r="AN57">
        <f t="shared" si="10"/>
        <v>120</v>
      </c>
      <c r="AO57">
        <f t="shared" si="11"/>
        <v>113.8</v>
      </c>
      <c r="AP57">
        <f t="shared" si="12"/>
        <v>123.4</v>
      </c>
      <c r="AQ57">
        <f t="shared" si="13"/>
        <v>127.1</v>
      </c>
      <c r="AR57">
        <f t="shared" si="14"/>
        <v>121</v>
      </c>
      <c r="AS57">
        <f t="shared" si="15"/>
        <v>118</v>
      </c>
      <c r="AT57">
        <f t="shared" si="16"/>
        <v>113.6</v>
      </c>
      <c r="AU57">
        <f t="shared" si="17"/>
        <v>117.4</v>
      </c>
      <c r="AV57">
        <f t="shared" si="18"/>
        <v>114.8</v>
      </c>
      <c r="AW57">
        <f t="shared" si="19"/>
        <v>111.6</v>
      </c>
      <c r="AX57">
        <f t="shared" si="20"/>
        <v>114.9</v>
      </c>
      <c r="AY57">
        <f t="shared" si="21"/>
        <v>111.5</v>
      </c>
      <c r="AZ57">
        <f t="shared" si="22"/>
        <v>113</v>
      </c>
      <c r="BA57">
        <f t="shared" si="23"/>
        <v>112.4</v>
      </c>
      <c r="BB57">
        <f t="shared" si="24"/>
        <v>117.8</v>
      </c>
      <c r="BC57">
        <f t="shared" si="25"/>
        <v>109.7</v>
      </c>
      <c r="BD57">
        <f t="shared" si="26"/>
        <v>113.5</v>
      </c>
      <c r="BE57">
        <f t="shared" si="27"/>
        <v>118.9</v>
      </c>
      <c r="BF57">
        <f t="shared" si="28"/>
        <v>1599.5</v>
      </c>
      <c r="BG57">
        <f t="shared" si="29"/>
        <v>349</v>
      </c>
      <c r="BH57">
        <f t="shared" si="30"/>
        <v>221.2</v>
      </c>
      <c r="BI57">
        <f t="shared" si="31"/>
        <v>347.5</v>
      </c>
      <c r="BJ57">
        <f t="shared" si="32"/>
        <v>346.9</v>
      </c>
      <c r="BK57">
        <f t="shared" si="33"/>
        <v>224.6</v>
      </c>
    </row>
    <row r="58" spans="1:63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1"/>
        <v>122.4</v>
      </c>
      <c r="AF58">
        <f t="shared" si="2"/>
        <v>123.9</v>
      </c>
      <c r="AG58">
        <f t="shared" si="3"/>
        <v>117.8</v>
      </c>
      <c r="AH58">
        <f t="shared" si="4"/>
        <v>121</v>
      </c>
      <c r="AI58">
        <f t="shared" si="5"/>
        <v>107.9</v>
      </c>
      <c r="AJ58">
        <f t="shared" si="6"/>
        <v>131.19999999999999</v>
      </c>
      <c r="AK58">
        <f t="shared" si="7"/>
        <v>157.69999999999999</v>
      </c>
      <c r="AL58">
        <f t="shared" si="8"/>
        <v>113.2</v>
      </c>
      <c r="AM58">
        <f t="shared" si="9"/>
        <v>104.1</v>
      </c>
      <c r="AN58">
        <f t="shared" si="10"/>
        <v>115.5</v>
      </c>
      <c r="AO58">
        <f t="shared" si="11"/>
        <v>114.8</v>
      </c>
      <c r="AP58">
        <f t="shared" si="12"/>
        <v>122.1</v>
      </c>
      <c r="AQ58">
        <f t="shared" si="13"/>
        <v>124.7</v>
      </c>
      <c r="AR58">
        <f t="shared" si="14"/>
        <v>118.8</v>
      </c>
      <c r="AS58">
        <f t="shared" si="15"/>
        <v>119.6</v>
      </c>
      <c r="AT58">
        <f t="shared" si="16"/>
        <v>116.3</v>
      </c>
      <c r="AU58">
        <f t="shared" si="17"/>
        <v>119.1</v>
      </c>
      <c r="AV58">
        <f t="shared" si="18"/>
        <v>114.8</v>
      </c>
      <c r="AW58">
        <f t="shared" si="19"/>
        <v>113.9</v>
      </c>
      <c r="AX58">
        <f t="shared" si="20"/>
        <v>115.2</v>
      </c>
      <c r="AY58">
        <f t="shared" si="21"/>
        <v>112.7</v>
      </c>
      <c r="AZ58">
        <f t="shared" si="22"/>
        <v>113.1</v>
      </c>
      <c r="BA58">
        <f t="shared" si="23"/>
        <v>112.1</v>
      </c>
      <c r="BB58">
        <f t="shared" si="24"/>
        <v>116.8</v>
      </c>
      <c r="BC58">
        <f t="shared" si="25"/>
        <v>109.2</v>
      </c>
      <c r="BD58">
        <f t="shared" si="26"/>
        <v>113.3</v>
      </c>
      <c r="BE58">
        <f t="shared" si="27"/>
        <v>119.2</v>
      </c>
      <c r="BF58">
        <f t="shared" si="28"/>
        <v>1576.3</v>
      </c>
      <c r="BG58">
        <f t="shared" si="29"/>
        <v>355</v>
      </c>
      <c r="BH58">
        <f t="shared" si="30"/>
        <v>221.9</v>
      </c>
      <c r="BI58">
        <f t="shared" si="31"/>
        <v>346.8</v>
      </c>
      <c r="BJ58">
        <f t="shared" si="32"/>
        <v>344.2</v>
      </c>
      <c r="BK58">
        <f t="shared" si="33"/>
        <v>227</v>
      </c>
    </row>
    <row r="59" spans="1:63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1"/>
        <v>121.8</v>
      </c>
      <c r="AF59">
        <f t="shared" si="2"/>
        <v>122.8</v>
      </c>
      <c r="AG59">
        <f t="shared" si="3"/>
        <v>117.8</v>
      </c>
      <c r="AH59">
        <f t="shared" si="4"/>
        <v>121.9</v>
      </c>
      <c r="AI59">
        <f t="shared" si="5"/>
        <v>110.6</v>
      </c>
      <c r="AJ59">
        <f t="shared" si="6"/>
        <v>129.69999999999999</v>
      </c>
      <c r="AK59">
        <f t="shared" si="7"/>
        <v>161.1</v>
      </c>
      <c r="AL59">
        <f t="shared" si="8"/>
        <v>114.1</v>
      </c>
      <c r="AM59">
        <f t="shared" si="9"/>
        <v>105.1</v>
      </c>
      <c r="AN59">
        <f t="shared" si="10"/>
        <v>114.6</v>
      </c>
      <c r="AO59">
        <f t="shared" si="11"/>
        <v>115.8</v>
      </c>
      <c r="AP59">
        <f t="shared" si="12"/>
        <v>121.7</v>
      </c>
      <c r="AQ59">
        <f t="shared" si="13"/>
        <v>125.3</v>
      </c>
      <c r="AR59">
        <f t="shared" si="14"/>
        <v>118.8</v>
      </c>
      <c r="AS59">
        <f t="shared" si="15"/>
        <v>120.9</v>
      </c>
      <c r="AT59">
        <f t="shared" si="16"/>
        <v>118.8</v>
      </c>
      <c r="AU59">
        <f t="shared" si="17"/>
        <v>120.7</v>
      </c>
      <c r="AV59">
        <f t="shared" si="18"/>
        <v>115.5</v>
      </c>
      <c r="AW59">
        <f t="shared" si="19"/>
        <v>115.4</v>
      </c>
      <c r="AX59">
        <f t="shared" si="20"/>
        <v>115.9</v>
      </c>
      <c r="AY59">
        <f t="shared" si="21"/>
        <v>114</v>
      </c>
      <c r="AZ59">
        <f t="shared" si="22"/>
        <v>113.2</v>
      </c>
      <c r="BA59">
        <f t="shared" si="23"/>
        <v>112.2</v>
      </c>
      <c r="BB59">
        <f t="shared" si="24"/>
        <v>116.2</v>
      </c>
      <c r="BC59">
        <f t="shared" si="25"/>
        <v>109.4</v>
      </c>
      <c r="BD59">
        <f t="shared" si="26"/>
        <v>113.5</v>
      </c>
      <c r="BE59">
        <f t="shared" si="27"/>
        <v>120.7</v>
      </c>
      <c r="BF59">
        <f t="shared" si="28"/>
        <v>1582.2999999999997</v>
      </c>
      <c r="BG59">
        <f t="shared" si="29"/>
        <v>360.4</v>
      </c>
      <c r="BH59">
        <f t="shared" si="30"/>
        <v>223.4</v>
      </c>
      <c r="BI59">
        <f t="shared" si="31"/>
        <v>347.6</v>
      </c>
      <c r="BJ59">
        <f t="shared" si="32"/>
        <v>344.5</v>
      </c>
      <c r="BK59">
        <f t="shared" si="33"/>
        <v>228.60000000000002</v>
      </c>
    </row>
    <row r="60" spans="1:63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1"/>
        <v>124.8</v>
      </c>
      <c r="AF60">
        <f t="shared" si="2"/>
        <v>127.3</v>
      </c>
      <c r="AG60">
        <f t="shared" si="3"/>
        <v>116.5</v>
      </c>
      <c r="AH60">
        <f t="shared" si="4"/>
        <v>122.2</v>
      </c>
      <c r="AI60">
        <f t="shared" si="5"/>
        <v>103.6</v>
      </c>
      <c r="AJ60">
        <f t="shared" si="6"/>
        <v>132.69999999999999</v>
      </c>
      <c r="AK60">
        <f t="shared" si="7"/>
        <v>181.9</v>
      </c>
      <c r="AL60">
        <f t="shared" si="8"/>
        <v>115.2</v>
      </c>
      <c r="AM60">
        <f t="shared" si="9"/>
        <v>102.7</v>
      </c>
      <c r="AN60">
        <f t="shared" si="10"/>
        <v>122.1</v>
      </c>
      <c r="AO60">
        <f t="shared" si="11"/>
        <v>114.4</v>
      </c>
      <c r="AP60">
        <f t="shared" si="12"/>
        <v>124.7</v>
      </c>
      <c r="AQ60">
        <f t="shared" si="13"/>
        <v>128.9</v>
      </c>
      <c r="AR60">
        <f t="shared" si="14"/>
        <v>123</v>
      </c>
      <c r="AS60">
        <f t="shared" si="15"/>
        <v>118.6</v>
      </c>
      <c r="AT60">
        <f t="shared" si="16"/>
        <v>114.1</v>
      </c>
      <c r="AU60">
        <f t="shared" si="17"/>
        <v>117.9</v>
      </c>
      <c r="AV60">
        <f t="shared" si="18"/>
        <v>115.5</v>
      </c>
      <c r="AW60">
        <f t="shared" si="19"/>
        <v>111.8</v>
      </c>
      <c r="AX60">
        <f t="shared" si="20"/>
        <v>115.3</v>
      </c>
      <c r="AY60">
        <f t="shared" si="21"/>
        <v>112.2</v>
      </c>
      <c r="AZ60">
        <f t="shared" si="22"/>
        <v>112.5</v>
      </c>
      <c r="BA60">
        <f t="shared" si="23"/>
        <v>112.9</v>
      </c>
      <c r="BB60">
        <f t="shared" si="24"/>
        <v>119.2</v>
      </c>
      <c r="BC60">
        <f t="shared" si="25"/>
        <v>110.5</v>
      </c>
      <c r="BD60">
        <f t="shared" si="26"/>
        <v>113.9</v>
      </c>
      <c r="BE60">
        <f t="shared" si="27"/>
        <v>119.9</v>
      </c>
      <c r="BF60">
        <f t="shared" si="28"/>
        <v>1617</v>
      </c>
      <c r="BG60">
        <f t="shared" si="29"/>
        <v>350.6</v>
      </c>
      <c r="BH60">
        <f t="shared" si="30"/>
        <v>222.7</v>
      </c>
      <c r="BI60">
        <f t="shared" si="31"/>
        <v>350</v>
      </c>
      <c r="BJ60">
        <f t="shared" si="32"/>
        <v>349.8</v>
      </c>
      <c r="BK60">
        <f t="shared" si="33"/>
        <v>224.3</v>
      </c>
    </row>
    <row r="61" spans="1:63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1"/>
        <v>122.7</v>
      </c>
      <c r="AF61">
        <f t="shared" si="2"/>
        <v>124.4</v>
      </c>
      <c r="AG61">
        <f t="shared" si="3"/>
        <v>117.3</v>
      </c>
      <c r="AH61">
        <f t="shared" si="4"/>
        <v>122</v>
      </c>
      <c r="AI61">
        <f t="shared" si="5"/>
        <v>108</v>
      </c>
      <c r="AJ61">
        <f t="shared" si="6"/>
        <v>131.1</v>
      </c>
      <c r="AK61">
        <f t="shared" si="7"/>
        <v>168.2</v>
      </c>
      <c r="AL61">
        <f t="shared" si="8"/>
        <v>114.5</v>
      </c>
      <c r="AM61">
        <f t="shared" si="9"/>
        <v>104.3</v>
      </c>
      <c r="AN61">
        <f t="shared" si="10"/>
        <v>117.1</v>
      </c>
      <c r="AO61">
        <f t="shared" si="11"/>
        <v>115.2</v>
      </c>
      <c r="AP61">
        <f t="shared" si="12"/>
        <v>123.1</v>
      </c>
      <c r="AQ61">
        <f t="shared" si="13"/>
        <v>126.6</v>
      </c>
      <c r="AR61">
        <f t="shared" si="14"/>
        <v>119.9</v>
      </c>
      <c r="AS61">
        <f t="shared" si="15"/>
        <v>120</v>
      </c>
      <c r="AT61">
        <f t="shared" si="16"/>
        <v>116.8</v>
      </c>
      <c r="AU61">
        <f t="shared" si="17"/>
        <v>119.6</v>
      </c>
      <c r="AV61">
        <f t="shared" si="18"/>
        <v>115.5</v>
      </c>
      <c r="AW61">
        <f t="shared" si="19"/>
        <v>114</v>
      </c>
      <c r="AX61">
        <f t="shared" si="20"/>
        <v>115.6</v>
      </c>
      <c r="AY61">
        <f t="shared" si="21"/>
        <v>113.3</v>
      </c>
      <c r="AZ61">
        <f t="shared" si="22"/>
        <v>112.8</v>
      </c>
      <c r="BA61">
        <f t="shared" si="23"/>
        <v>112.6</v>
      </c>
      <c r="BB61">
        <f t="shared" si="24"/>
        <v>118</v>
      </c>
      <c r="BC61">
        <f t="shared" si="25"/>
        <v>109.9</v>
      </c>
      <c r="BD61">
        <f t="shared" si="26"/>
        <v>113.7</v>
      </c>
      <c r="BE61">
        <f t="shared" si="27"/>
        <v>120.3</v>
      </c>
      <c r="BF61">
        <f t="shared" si="28"/>
        <v>1594.4999999999998</v>
      </c>
      <c r="BG61">
        <f t="shared" si="29"/>
        <v>356.4</v>
      </c>
      <c r="BH61">
        <f t="shared" si="30"/>
        <v>223.2</v>
      </c>
      <c r="BI61">
        <f t="shared" si="31"/>
        <v>349.1</v>
      </c>
      <c r="BJ61">
        <f t="shared" si="32"/>
        <v>346.2</v>
      </c>
      <c r="BK61">
        <f t="shared" si="33"/>
        <v>226.8</v>
      </c>
    </row>
    <row r="62" spans="1:63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1"/>
        <v>122.3</v>
      </c>
      <c r="AF62">
        <f t="shared" si="2"/>
        <v>122.4</v>
      </c>
      <c r="AG62">
        <f t="shared" si="3"/>
        <v>117.8</v>
      </c>
      <c r="AH62">
        <f t="shared" si="4"/>
        <v>122.7</v>
      </c>
      <c r="AI62">
        <f t="shared" si="5"/>
        <v>110.4</v>
      </c>
      <c r="AJ62">
        <f t="shared" si="6"/>
        <v>129.80000000000001</v>
      </c>
      <c r="AK62">
        <f t="shared" si="7"/>
        <v>158.80000000000001</v>
      </c>
      <c r="AL62">
        <f t="shared" si="8"/>
        <v>115</v>
      </c>
      <c r="AM62">
        <f t="shared" si="9"/>
        <v>104.7</v>
      </c>
      <c r="AN62">
        <f t="shared" si="10"/>
        <v>114.9</v>
      </c>
      <c r="AO62">
        <f t="shared" si="11"/>
        <v>116.5</v>
      </c>
      <c r="AP62">
        <f t="shared" si="12"/>
        <v>122.6</v>
      </c>
      <c r="AQ62">
        <f t="shared" si="13"/>
        <v>125.3</v>
      </c>
      <c r="AR62">
        <f t="shared" si="14"/>
        <v>119.5</v>
      </c>
      <c r="AS62">
        <f t="shared" si="15"/>
        <v>121.7</v>
      </c>
      <c r="AT62">
        <f t="shared" si="16"/>
        <v>119.2</v>
      </c>
      <c r="AU62">
        <f t="shared" si="17"/>
        <v>121.3</v>
      </c>
      <c r="AV62">
        <f t="shared" si="18"/>
        <v>116.1</v>
      </c>
      <c r="AW62">
        <f t="shared" si="19"/>
        <v>115.8</v>
      </c>
      <c r="AX62">
        <f t="shared" si="20"/>
        <v>116.7</v>
      </c>
      <c r="AY62">
        <f t="shared" si="21"/>
        <v>114.5</v>
      </c>
      <c r="AZ62">
        <f t="shared" si="22"/>
        <v>112.8</v>
      </c>
      <c r="BA62">
        <f t="shared" si="23"/>
        <v>112.6</v>
      </c>
      <c r="BB62">
        <f t="shared" si="24"/>
        <v>116.6</v>
      </c>
      <c r="BC62">
        <f t="shared" si="25"/>
        <v>109.1</v>
      </c>
      <c r="BD62">
        <f t="shared" si="26"/>
        <v>113.7</v>
      </c>
      <c r="BE62">
        <f t="shared" si="27"/>
        <v>120.9</v>
      </c>
      <c r="BF62">
        <f t="shared" si="28"/>
        <v>1583.2</v>
      </c>
      <c r="BG62">
        <f t="shared" si="29"/>
        <v>362.2</v>
      </c>
      <c r="BH62">
        <f t="shared" si="30"/>
        <v>223.6</v>
      </c>
      <c r="BI62">
        <f t="shared" si="31"/>
        <v>349.4</v>
      </c>
      <c r="BJ62">
        <f t="shared" si="32"/>
        <v>345.8</v>
      </c>
      <c r="BK62">
        <f t="shared" si="33"/>
        <v>228.6</v>
      </c>
    </row>
    <row r="63" spans="1:63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1"/>
        <v>124.2</v>
      </c>
      <c r="AF63">
        <f t="shared" si="2"/>
        <v>125.4</v>
      </c>
      <c r="AG63">
        <f t="shared" si="3"/>
        <v>116.4</v>
      </c>
      <c r="AH63">
        <f t="shared" si="4"/>
        <v>122.7</v>
      </c>
      <c r="AI63">
        <f t="shared" si="5"/>
        <v>103.5</v>
      </c>
      <c r="AJ63">
        <f t="shared" si="6"/>
        <v>124.5</v>
      </c>
      <c r="AK63">
        <f t="shared" si="7"/>
        <v>168.6</v>
      </c>
      <c r="AL63">
        <f t="shared" si="8"/>
        <v>116.9</v>
      </c>
      <c r="AM63">
        <f t="shared" si="9"/>
        <v>101.9</v>
      </c>
      <c r="AN63">
        <f t="shared" si="10"/>
        <v>122.9</v>
      </c>
      <c r="AO63">
        <f t="shared" si="11"/>
        <v>114.8</v>
      </c>
      <c r="AP63">
        <f t="shared" si="12"/>
        <v>125.2</v>
      </c>
      <c r="AQ63">
        <f t="shared" si="13"/>
        <v>126.7</v>
      </c>
      <c r="AR63">
        <f t="shared" si="14"/>
        <v>124.3</v>
      </c>
      <c r="AS63">
        <f t="shared" si="15"/>
        <v>119.2</v>
      </c>
      <c r="AT63">
        <f t="shared" si="16"/>
        <v>114.5</v>
      </c>
      <c r="AU63">
        <f t="shared" si="17"/>
        <v>118.4</v>
      </c>
      <c r="AV63">
        <f t="shared" si="18"/>
        <v>116.1</v>
      </c>
      <c r="AW63">
        <f t="shared" si="19"/>
        <v>111.8</v>
      </c>
      <c r="AX63">
        <f t="shared" si="20"/>
        <v>115.5</v>
      </c>
      <c r="AY63">
        <f t="shared" si="21"/>
        <v>112.3</v>
      </c>
      <c r="AZ63">
        <f t="shared" si="22"/>
        <v>111.2</v>
      </c>
      <c r="BA63">
        <f t="shared" si="23"/>
        <v>113.4</v>
      </c>
      <c r="BB63">
        <f t="shared" si="24"/>
        <v>120</v>
      </c>
      <c r="BC63">
        <f t="shared" si="25"/>
        <v>110</v>
      </c>
      <c r="BD63">
        <f t="shared" si="26"/>
        <v>113.6</v>
      </c>
      <c r="BE63">
        <f t="shared" si="27"/>
        <v>119.2</v>
      </c>
      <c r="BF63">
        <f t="shared" si="28"/>
        <v>1593.7000000000003</v>
      </c>
      <c r="BG63">
        <f t="shared" si="29"/>
        <v>352.1</v>
      </c>
      <c r="BH63">
        <f t="shared" si="30"/>
        <v>222.3</v>
      </c>
      <c r="BI63">
        <f t="shared" si="31"/>
        <v>351.6</v>
      </c>
      <c r="BJ63">
        <f t="shared" si="32"/>
        <v>351.29999999999995</v>
      </c>
      <c r="BK63">
        <f t="shared" si="33"/>
        <v>223</v>
      </c>
    </row>
    <row r="64" spans="1:63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1"/>
        <v>122.9</v>
      </c>
      <c r="AF64">
        <f t="shared" si="2"/>
        <v>123.5</v>
      </c>
      <c r="AG64">
        <f t="shared" si="3"/>
        <v>117.3</v>
      </c>
      <c r="AH64">
        <f t="shared" si="4"/>
        <v>122.7</v>
      </c>
      <c r="AI64">
        <f t="shared" si="5"/>
        <v>107.9</v>
      </c>
      <c r="AJ64">
        <f t="shared" si="6"/>
        <v>127.3</v>
      </c>
      <c r="AK64">
        <f t="shared" si="7"/>
        <v>162.1</v>
      </c>
      <c r="AL64">
        <f t="shared" si="8"/>
        <v>115.6</v>
      </c>
      <c r="AM64">
        <f t="shared" si="9"/>
        <v>103.8</v>
      </c>
      <c r="AN64">
        <f t="shared" si="10"/>
        <v>117.6</v>
      </c>
      <c r="AO64">
        <f t="shared" si="11"/>
        <v>115.8</v>
      </c>
      <c r="AP64">
        <f t="shared" si="12"/>
        <v>123.8</v>
      </c>
      <c r="AQ64">
        <f t="shared" si="13"/>
        <v>125.8</v>
      </c>
      <c r="AR64">
        <f t="shared" si="14"/>
        <v>120.8</v>
      </c>
      <c r="AS64">
        <f t="shared" si="15"/>
        <v>120.7</v>
      </c>
      <c r="AT64">
        <f t="shared" si="16"/>
        <v>117.2</v>
      </c>
      <c r="AU64">
        <f t="shared" si="17"/>
        <v>120.1</v>
      </c>
      <c r="AV64">
        <f t="shared" si="18"/>
        <v>116.1</v>
      </c>
      <c r="AW64">
        <f t="shared" si="19"/>
        <v>114.3</v>
      </c>
      <c r="AX64">
        <f t="shared" si="20"/>
        <v>116.1</v>
      </c>
      <c r="AY64">
        <f t="shared" si="21"/>
        <v>113.7</v>
      </c>
      <c r="AZ64">
        <f t="shared" si="22"/>
        <v>112</v>
      </c>
      <c r="BA64">
        <f t="shared" si="23"/>
        <v>113.1</v>
      </c>
      <c r="BB64">
        <f t="shared" si="24"/>
        <v>118.6</v>
      </c>
      <c r="BC64">
        <f t="shared" si="25"/>
        <v>109.5</v>
      </c>
      <c r="BD64">
        <f t="shared" si="26"/>
        <v>113.7</v>
      </c>
      <c r="BE64">
        <f t="shared" si="27"/>
        <v>120.1</v>
      </c>
      <c r="BF64">
        <f t="shared" si="28"/>
        <v>1586.0999999999997</v>
      </c>
      <c r="BG64">
        <f t="shared" si="29"/>
        <v>358</v>
      </c>
      <c r="BH64">
        <f t="shared" si="30"/>
        <v>223.2</v>
      </c>
      <c r="BI64">
        <f t="shared" si="31"/>
        <v>350.79999999999995</v>
      </c>
      <c r="BJ64">
        <f t="shared" si="32"/>
        <v>347.59999999999997</v>
      </c>
      <c r="BK64">
        <f t="shared" si="33"/>
        <v>226.3</v>
      </c>
    </row>
    <row r="65" spans="1:63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1"/>
        <v>122.6</v>
      </c>
      <c r="AF65">
        <f t="shared" si="2"/>
        <v>122.5</v>
      </c>
      <c r="AG65">
        <f t="shared" si="3"/>
        <v>118.3</v>
      </c>
      <c r="AH65">
        <f t="shared" si="4"/>
        <v>123.2</v>
      </c>
      <c r="AI65">
        <f t="shared" si="5"/>
        <v>110.5</v>
      </c>
      <c r="AJ65">
        <f t="shared" si="6"/>
        <v>128.9</v>
      </c>
      <c r="AK65">
        <f t="shared" si="7"/>
        <v>155.30000000000001</v>
      </c>
      <c r="AL65">
        <f t="shared" si="8"/>
        <v>115.5</v>
      </c>
      <c r="AM65">
        <f t="shared" si="9"/>
        <v>104</v>
      </c>
      <c r="AN65">
        <f t="shared" si="10"/>
        <v>115.3</v>
      </c>
      <c r="AO65">
        <f t="shared" si="11"/>
        <v>116.8</v>
      </c>
      <c r="AP65">
        <f t="shared" si="12"/>
        <v>123.2</v>
      </c>
      <c r="AQ65">
        <f t="shared" si="13"/>
        <v>125.1</v>
      </c>
      <c r="AR65">
        <f t="shared" si="14"/>
        <v>120</v>
      </c>
      <c r="AS65">
        <f t="shared" si="15"/>
        <v>122.7</v>
      </c>
      <c r="AT65">
        <f t="shared" si="16"/>
        <v>120.3</v>
      </c>
      <c r="AU65">
        <f t="shared" si="17"/>
        <v>122.3</v>
      </c>
      <c r="AV65">
        <f t="shared" si="18"/>
        <v>116.7</v>
      </c>
      <c r="AW65">
        <f t="shared" si="19"/>
        <v>116.4</v>
      </c>
      <c r="AX65">
        <f t="shared" si="20"/>
        <v>117.5</v>
      </c>
      <c r="AY65">
        <f t="shared" si="21"/>
        <v>115.3</v>
      </c>
      <c r="AZ65">
        <f t="shared" si="22"/>
        <v>112.6</v>
      </c>
      <c r="BA65">
        <f t="shared" si="23"/>
        <v>113</v>
      </c>
      <c r="BB65">
        <f t="shared" si="24"/>
        <v>116.9</v>
      </c>
      <c r="BC65">
        <f t="shared" si="25"/>
        <v>109.3</v>
      </c>
      <c r="BD65">
        <f t="shared" si="26"/>
        <v>114</v>
      </c>
      <c r="BE65">
        <f t="shared" si="27"/>
        <v>121</v>
      </c>
      <c r="BF65">
        <f t="shared" si="28"/>
        <v>1581.1999999999998</v>
      </c>
      <c r="BG65">
        <f t="shared" si="29"/>
        <v>365.3</v>
      </c>
      <c r="BH65">
        <f t="shared" si="30"/>
        <v>224.6</v>
      </c>
      <c r="BI65">
        <f t="shared" si="31"/>
        <v>351.1</v>
      </c>
      <c r="BJ65">
        <f t="shared" si="32"/>
        <v>347</v>
      </c>
      <c r="BK65">
        <f t="shared" si="33"/>
        <v>229</v>
      </c>
    </row>
    <row r="66" spans="1:63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si="1"/>
        <v>124.6</v>
      </c>
      <c r="AF66">
        <f t="shared" si="2"/>
        <v>126.1</v>
      </c>
      <c r="AG66">
        <f t="shared" si="3"/>
        <v>117.8</v>
      </c>
      <c r="AH66">
        <f t="shared" si="4"/>
        <v>123.1</v>
      </c>
      <c r="AI66">
        <f t="shared" si="5"/>
        <v>103.5</v>
      </c>
      <c r="AJ66">
        <f t="shared" si="6"/>
        <v>123.5</v>
      </c>
      <c r="AK66">
        <f t="shared" si="7"/>
        <v>159.6</v>
      </c>
      <c r="AL66">
        <f t="shared" si="8"/>
        <v>117.4</v>
      </c>
      <c r="AM66">
        <f t="shared" si="9"/>
        <v>101.2</v>
      </c>
      <c r="AN66">
        <f t="shared" si="10"/>
        <v>123.8</v>
      </c>
      <c r="AO66">
        <f t="shared" si="11"/>
        <v>115.2</v>
      </c>
      <c r="AP66">
        <f t="shared" si="12"/>
        <v>125.9</v>
      </c>
      <c r="AQ66">
        <f t="shared" si="13"/>
        <v>125.8</v>
      </c>
      <c r="AR66">
        <f t="shared" si="14"/>
        <v>124.3</v>
      </c>
      <c r="AS66">
        <f t="shared" si="15"/>
        <v>119.6</v>
      </c>
      <c r="AT66">
        <f t="shared" si="16"/>
        <v>114.9</v>
      </c>
      <c r="AU66">
        <f t="shared" si="17"/>
        <v>118.9</v>
      </c>
      <c r="AV66">
        <f t="shared" si="18"/>
        <v>116.7</v>
      </c>
      <c r="AW66">
        <f t="shared" si="19"/>
        <v>112</v>
      </c>
      <c r="AX66">
        <f t="shared" si="20"/>
        <v>115.8</v>
      </c>
      <c r="AY66">
        <f t="shared" si="21"/>
        <v>112.6</v>
      </c>
      <c r="AZ66">
        <f t="shared" si="22"/>
        <v>111</v>
      </c>
      <c r="BA66">
        <f t="shared" si="23"/>
        <v>113.6</v>
      </c>
      <c r="BB66">
        <f t="shared" si="24"/>
        <v>120.2</v>
      </c>
      <c r="BC66">
        <f t="shared" si="25"/>
        <v>110.1</v>
      </c>
      <c r="BD66">
        <f t="shared" si="26"/>
        <v>113.7</v>
      </c>
      <c r="BE66">
        <f t="shared" si="27"/>
        <v>119.1</v>
      </c>
      <c r="BF66">
        <f t="shared" si="28"/>
        <v>1587.5</v>
      </c>
      <c r="BG66">
        <f t="shared" si="29"/>
        <v>353.4</v>
      </c>
      <c r="BH66">
        <f t="shared" si="30"/>
        <v>222.7</v>
      </c>
      <c r="BI66">
        <f t="shared" si="31"/>
        <v>352.7</v>
      </c>
      <c r="BJ66">
        <f t="shared" si="32"/>
        <v>351.59999999999997</v>
      </c>
      <c r="BK66">
        <f t="shared" si="33"/>
        <v>223</v>
      </c>
    </row>
    <row r="67" spans="1:63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ref="AE67:AE130" si="34">D67</f>
        <v>123.2</v>
      </c>
      <c r="AF67">
        <f t="shared" ref="AF67:AF130" si="35">E67</f>
        <v>123.8</v>
      </c>
      <c r="AG67">
        <f t="shared" ref="AG67:AG130" si="36">F67</f>
        <v>118.1</v>
      </c>
      <c r="AH67">
        <f t="shared" ref="AH67:AH130" si="37">G67</f>
        <v>123.2</v>
      </c>
      <c r="AI67">
        <f t="shared" ref="AI67:AI130" si="38">H67</f>
        <v>107.9</v>
      </c>
      <c r="AJ67">
        <f t="shared" ref="AJ67:AJ130" si="39">I67</f>
        <v>126.4</v>
      </c>
      <c r="AK67">
        <f t="shared" ref="AK67:AK130" si="40">J67</f>
        <v>156.80000000000001</v>
      </c>
      <c r="AL67">
        <f t="shared" ref="AL67:AL130" si="41">K67</f>
        <v>116.1</v>
      </c>
      <c r="AM67">
        <f t="shared" ref="AM67:AM130" si="42">L67</f>
        <v>103.1</v>
      </c>
      <c r="AN67">
        <f t="shared" ref="AN67:AN130" si="43">M67</f>
        <v>118.1</v>
      </c>
      <c r="AO67">
        <f t="shared" ref="AO67:AO130" si="44">N67</f>
        <v>116.1</v>
      </c>
      <c r="AP67">
        <f t="shared" ref="AP67:AP130" si="45">O67</f>
        <v>124.5</v>
      </c>
      <c r="AQ67">
        <f t="shared" ref="AQ67:AQ130" si="46">P67</f>
        <v>125.4</v>
      </c>
      <c r="AR67">
        <f t="shared" ref="AR67:AR130" si="47">Q67</f>
        <v>121.1</v>
      </c>
      <c r="AS67">
        <f t="shared" ref="AS67:AS130" si="48">R67</f>
        <v>121.5</v>
      </c>
      <c r="AT67">
        <f t="shared" ref="AT67:AT130" si="49">S67</f>
        <v>118.1</v>
      </c>
      <c r="AU67">
        <f t="shared" ref="AU67:AU130" si="50">T67</f>
        <v>121</v>
      </c>
      <c r="AV67">
        <f t="shared" ref="AV67:AV130" si="51">IF(OR(U67="NA",U67="-"),AVERAGE(AV68:AV69),U67)</f>
        <v>116.7</v>
      </c>
      <c r="AW67">
        <f t="shared" ref="AW67:AW130" si="52">V67</f>
        <v>114.7</v>
      </c>
      <c r="AX67">
        <f t="shared" ref="AX67:AX130" si="53">W67</f>
        <v>116.7</v>
      </c>
      <c r="AY67">
        <f t="shared" ref="AY67:AY130" si="54">X67</f>
        <v>114.3</v>
      </c>
      <c r="AZ67">
        <f t="shared" ref="AZ67:AZ130" si="55">Y67</f>
        <v>111.8</v>
      </c>
      <c r="BA67">
        <f t="shared" ref="BA67:BA130" si="56">Z67</f>
        <v>113.3</v>
      </c>
      <c r="BB67">
        <f t="shared" ref="BB67:BB130" si="57">AA67</f>
        <v>118.8</v>
      </c>
      <c r="BC67">
        <f t="shared" ref="BC67:BC130" si="58">AB67</f>
        <v>109.6</v>
      </c>
      <c r="BD67">
        <f t="shared" ref="BD67:BD130" si="59">AC67</f>
        <v>113.9</v>
      </c>
      <c r="BE67">
        <f t="shared" ref="BE67:BE130" si="60">AD67</f>
        <v>120.1</v>
      </c>
      <c r="BF67">
        <f t="shared" ref="BF67:BF130" si="61">SUM(AE67:AQ67)</f>
        <v>1582.7</v>
      </c>
      <c r="BG67">
        <f t="shared" ref="BG67:BG130" si="62">SUM(AS67:AU67)</f>
        <v>360.6</v>
      </c>
      <c r="BH67">
        <f t="shared" ref="BH67:BH130" si="63">SUM(AY67+BC67)</f>
        <v>223.89999999999998</v>
      </c>
      <c r="BI67">
        <f t="shared" ref="BI67:BI130" si="64">BB67+AX67+AV67</f>
        <v>352.2</v>
      </c>
      <c r="BJ67">
        <f t="shared" ref="BJ67:BJ130" si="65">SUM(AR67+BA67+BD67)</f>
        <v>348.29999999999995</v>
      </c>
      <c r="BK67">
        <f t="shared" ref="BK67:BK130" si="66">AZ67+AW67</f>
        <v>226.5</v>
      </c>
    </row>
    <row r="68" spans="1:63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34"/>
        <v>122.7</v>
      </c>
      <c r="AF68">
        <f t="shared" si="35"/>
        <v>122.6</v>
      </c>
      <c r="AG68">
        <f t="shared" si="36"/>
        <v>119.9</v>
      </c>
      <c r="AH68">
        <f t="shared" si="37"/>
        <v>124</v>
      </c>
      <c r="AI68">
        <f t="shared" si="38"/>
        <v>110.5</v>
      </c>
      <c r="AJ68">
        <f t="shared" si="39"/>
        <v>128.80000000000001</v>
      </c>
      <c r="AK68">
        <f t="shared" si="40"/>
        <v>152</v>
      </c>
      <c r="AL68">
        <f t="shared" si="41"/>
        <v>116.2</v>
      </c>
      <c r="AM68">
        <f t="shared" si="42"/>
        <v>103.3</v>
      </c>
      <c r="AN68">
        <f t="shared" si="43"/>
        <v>115.8</v>
      </c>
      <c r="AO68">
        <f t="shared" si="44"/>
        <v>116.8</v>
      </c>
      <c r="AP68">
        <f t="shared" si="45"/>
        <v>124.5</v>
      </c>
      <c r="AQ68">
        <f t="shared" si="46"/>
        <v>124.9</v>
      </c>
      <c r="AR68">
        <f t="shared" si="47"/>
        <v>120.8</v>
      </c>
      <c r="AS68">
        <f t="shared" si="48"/>
        <v>123.3</v>
      </c>
      <c r="AT68">
        <f t="shared" si="49"/>
        <v>120.5</v>
      </c>
      <c r="AU68">
        <f t="shared" si="50"/>
        <v>122.9</v>
      </c>
      <c r="AV68">
        <f t="shared" si="51"/>
        <v>117.1</v>
      </c>
      <c r="AW68">
        <f t="shared" si="52"/>
        <v>117.3</v>
      </c>
      <c r="AX68">
        <f t="shared" si="53"/>
        <v>118.1</v>
      </c>
      <c r="AY68">
        <f t="shared" si="54"/>
        <v>115.9</v>
      </c>
      <c r="AZ68">
        <f t="shared" si="55"/>
        <v>112</v>
      </c>
      <c r="BA68">
        <f t="shared" si="56"/>
        <v>113.3</v>
      </c>
      <c r="BB68">
        <f t="shared" si="57"/>
        <v>117.2</v>
      </c>
      <c r="BC68">
        <f t="shared" si="58"/>
        <v>108.8</v>
      </c>
      <c r="BD68">
        <f t="shared" si="59"/>
        <v>114.1</v>
      </c>
      <c r="BE68">
        <f t="shared" si="60"/>
        <v>121.1</v>
      </c>
      <c r="BF68">
        <f t="shared" si="61"/>
        <v>1582</v>
      </c>
      <c r="BG68">
        <f t="shared" si="62"/>
        <v>366.70000000000005</v>
      </c>
      <c r="BH68">
        <f t="shared" si="63"/>
        <v>224.7</v>
      </c>
      <c r="BI68">
        <f t="shared" si="64"/>
        <v>352.4</v>
      </c>
      <c r="BJ68">
        <f t="shared" si="65"/>
        <v>348.2</v>
      </c>
      <c r="BK68">
        <f t="shared" si="66"/>
        <v>229.3</v>
      </c>
    </row>
    <row r="69" spans="1:63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34"/>
        <v>124.5</v>
      </c>
      <c r="AF69">
        <f t="shared" si="35"/>
        <v>125.6</v>
      </c>
      <c r="AG69">
        <f t="shared" si="36"/>
        <v>122.7</v>
      </c>
      <c r="AH69">
        <f t="shared" si="37"/>
        <v>124.6</v>
      </c>
      <c r="AI69">
        <f t="shared" si="38"/>
        <v>103.2</v>
      </c>
      <c r="AJ69">
        <f t="shared" si="39"/>
        <v>122.2</v>
      </c>
      <c r="AK69">
        <f t="shared" si="40"/>
        <v>153.19999999999999</v>
      </c>
      <c r="AL69">
        <f t="shared" si="41"/>
        <v>119.3</v>
      </c>
      <c r="AM69">
        <f t="shared" si="42"/>
        <v>99.8</v>
      </c>
      <c r="AN69">
        <f t="shared" si="43"/>
        <v>124.6</v>
      </c>
      <c r="AO69">
        <f t="shared" si="44"/>
        <v>115.8</v>
      </c>
      <c r="AP69">
        <f t="shared" si="45"/>
        <v>126.9</v>
      </c>
      <c r="AQ69">
        <f t="shared" si="46"/>
        <v>125.4</v>
      </c>
      <c r="AR69">
        <f t="shared" si="47"/>
        <v>125.8</v>
      </c>
      <c r="AS69">
        <f t="shared" si="48"/>
        <v>120.3</v>
      </c>
      <c r="AT69">
        <f t="shared" si="49"/>
        <v>115.4</v>
      </c>
      <c r="AU69">
        <f t="shared" si="50"/>
        <v>119.5</v>
      </c>
      <c r="AV69">
        <f t="shared" si="51"/>
        <v>117.1</v>
      </c>
      <c r="AW69">
        <f t="shared" si="52"/>
        <v>112.6</v>
      </c>
      <c r="AX69">
        <f t="shared" si="53"/>
        <v>116.4</v>
      </c>
      <c r="AY69">
        <f t="shared" si="54"/>
        <v>113</v>
      </c>
      <c r="AZ69">
        <f t="shared" si="55"/>
        <v>109.7</v>
      </c>
      <c r="BA69">
        <f t="shared" si="56"/>
        <v>114</v>
      </c>
      <c r="BB69">
        <f t="shared" si="57"/>
        <v>120.3</v>
      </c>
      <c r="BC69">
        <f t="shared" si="58"/>
        <v>109.6</v>
      </c>
      <c r="BD69">
        <f t="shared" si="59"/>
        <v>113.4</v>
      </c>
      <c r="BE69">
        <f t="shared" si="60"/>
        <v>119</v>
      </c>
      <c r="BF69">
        <f t="shared" si="61"/>
        <v>1587.8</v>
      </c>
      <c r="BG69">
        <f t="shared" si="62"/>
        <v>355.2</v>
      </c>
      <c r="BH69">
        <f t="shared" si="63"/>
        <v>222.6</v>
      </c>
      <c r="BI69">
        <f t="shared" si="64"/>
        <v>353.79999999999995</v>
      </c>
      <c r="BJ69">
        <f t="shared" si="65"/>
        <v>353.20000000000005</v>
      </c>
      <c r="BK69">
        <f t="shared" si="66"/>
        <v>222.3</v>
      </c>
    </row>
    <row r="70" spans="1:63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34"/>
        <v>123.3</v>
      </c>
      <c r="AF70">
        <f t="shared" si="35"/>
        <v>123.7</v>
      </c>
      <c r="AG70">
        <f t="shared" si="36"/>
        <v>121</v>
      </c>
      <c r="AH70">
        <f t="shared" si="37"/>
        <v>124.2</v>
      </c>
      <c r="AI70">
        <f t="shared" si="38"/>
        <v>107.8</v>
      </c>
      <c r="AJ70">
        <f t="shared" si="39"/>
        <v>125.7</v>
      </c>
      <c r="AK70">
        <f t="shared" si="40"/>
        <v>152.4</v>
      </c>
      <c r="AL70">
        <f t="shared" si="41"/>
        <v>117.2</v>
      </c>
      <c r="AM70">
        <f t="shared" si="42"/>
        <v>102.1</v>
      </c>
      <c r="AN70">
        <f t="shared" si="43"/>
        <v>118.7</v>
      </c>
      <c r="AO70">
        <f t="shared" si="44"/>
        <v>116.4</v>
      </c>
      <c r="AP70">
        <f t="shared" si="45"/>
        <v>125.6</v>
      </c>
      <c r="AQ70">
        <f t="shared" si="46"/>
        <v>125.1</v>
      </c>
      <c r="AR70">
        <f t="shared" si="47"/>
        <v>122.1</v>
      </c>
      <c r="AS70">
        <f t="shared" si="48"/>
        <v>122.1</v>
      </c>
      <c r="AT70">
        <f t="shared" si="49"/>
        <v>118.4</v>
      </c>
      <c r="AU70">
        <f t="shared" si="50"/>
        <v>121.6</v>
      </c>
      <c r="AV70">
        <f t="shared" si="51"/>
        <v>117.1</v>
      </c>
      <c r="AW70">
        <f t="shared" si="52"/>
        <v>115.5</v>
      </c>
      <c r="AX70">
        <f t="shared" si="53"/>
        <v>117.3</v>
      </c>
      <c r="AY70">
        <f t="shared" si="54"/>
        <v>114.8</v>
      </c>
      <c r="AZ70">
        <f t="shared" si="55"/>
        <v>110.8</v>
      </c>
      <c r="BA70">
        <f t="shared" si="56"/>
        <v>113.7</v>
      </c>
      <c r="BB70">
        <f t="shared" si="57"/>
        <v>119</v>
      </c>
      <c r="BC70">
        <f t="shared" si="58"/>
        <v>109.1</v>
      </c>
      <c r="BD70">
        <f t="shared" si="59"/>
        <v>113.8</v>
      </c>
      <c r="BE70">
        <f t="shared" si="60"/>
        <v>120.1</v>
      </c>
      <c r="BF70">
        <f t="shared" si="61"/>
        <v>1583.2</v>
      </c>
      <c r="BG70">
        <f t="shared" si="62"/>
        <v>362.1</v>
      </c>
      <c r="BH70">
        <f t="shared" si="63"/>
        <v>223.89999999999998</v>
      </c>
      <c r="BI70">
        <f t="shared" si="64"/>
        <v>353.4</v>
      </c>
      <c r="BJ70">
        <f t="shared" si="65"/>
        <v>349.6</v>
      </c>
      <c r="BK70">
        <f t="shared" si="66"/>
        <v>226.3</v>
      </c>
    </row>
    <row r="71" spans="1:63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34"/>
        <v>122.4</v>
      </c>
      <c r="AF71">
        <f t="shared" si="35"/>
        <v>122.4</v>
      </c>
      <c r="AG71">
        <f t="shared" si="36"/>
        <v>121.8</v>
      </c>
      <c r="AH71">
        <f t="shared" si="37"/>
        <v>124.2</v>
      </c>
      <c r="AI71">
        <f t="shared" si="38"/>
        <v>110.2</v>
      </c>
      <c r="AJ71">
        <f t="shared" si="39"/>
        <v>128.6</v>
      </c>
      <c r="AK71">
        <f t="shared" si="40"/>
        <v>140.30000000000001</v>
      </c>
      <c r="AL71">
        <f t="shared" si="41"/>
        <v>116.3</v>
      </c>
      <c r="AM71">
        <f t="shared" si="42"/>
        <v>102</v>
      </c>
      <c r="AN71">
        <f t="shared" si="43"/>
        <v>116</v>
      </c>
      <c r="AO71">
        <f t="shared" si="44"/>
        <v>117.3</v>
      </c>
      <c r="AP71">
        <f t="shared" si="45"/>
        <v>124.8</v>
      </c>
      <c r="AQ71">
        <f t="shared" si="46"/>
        <v>123.3</v>
      </c>
      <c r="AR71">
        <f t="shared" si="47"/>
        <v>121.7</v>
      </c>
      <c r="AS71">
        <f t="shared" si="48"/>
        <v>123.8</v>
      </c>
      <c r="AT71">
        <f t="shared" si="49"/>
        <v>120.6</v>
      </c>
      <c r="AU71">
        <f t="shared" si="50"/>
        <v>123.3</v>
      </c>
      <c r="AV71">
        <f t="shared" si="51"/>
        <v>116.5</v>
      </c>
      <c r="AW71">
        <f t="shared" si="52"/>
        <v>117.4</v>
      </c>
      <c r="AX71">
        <f t="shared" si="53"/>
        <v>118.2</v>
      </c>
      <c r="AY71">
        <f t="shared" si="54"/>
        <v>116.2</v>
      </c>
      <c r="AZ71">
        <f t="shared" si="55"/>
        <v>111.5</v>
      </c>
      <c r="BA71">
        <f t="shared" si="56"/>
        <v>113.3</v>
      </c>
      <c r="BB71">
        <f t="shared" si="57"/>
        <v>117.7</v>
      </c>
      <c r="BC71">
        <f t="shared" si="58"/>
        <v>109.4</v>
      </c>
      <c r="BD71">
        <f t="shared" si="59"/>
        <v>114.2</v>
      </c>
      <c r="BE71">
        <f t="shared" si="60"/>
        <v>120.3</v>
      </c>
      <c r="BF71">
        <f t="shared" si="61"/>
        <v>1569.6</v>
      </c>
      <c r="BG71">
        <f t="shared" si="62"/>
        <v>367.7</v>
      </c>
      <c r="BH71">
        <f t="shared" si="63"/>
        <v>225.60000000000002</v>
      </c>
      <c r="BI71">
        <f t="shared" si="64"/>
        <v>352.4</v>
      </c>
      <c r="BJ71">
        <f t="shared" si="65"/>
        <v>349.2</v>
      </c>
      <c r="BK71">
        <f t="shared" si="66"/>
        <v>228.9</v>
      </c>
    </row>
    <row r="72" spans="1:63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34"/>
        <v>124</v>
      </c>
      <c r="AF72">
        <f t="shared" si="35"/>
        <v>124.7</v>
      </c>
      <c r="AG72">
        <f t="shared" si="36"/>
        <v>126.3</v>
      </c>
      <c r="AH72">
        <f t="shared" si="37"/>
        <v>124.9</v>
      </c>
      <c r="AI72">
        <f t="shared" si="38"/>
        <v>103</v>
      </c>
      <c r="AJ72">
        <f t="shared" si="39"/>
        <v>122.3</v>
      </c>
      <c r="AK72">
        <f t="shared" si="40"/>
        <v>141</v>
      </c>
      <c r="AL72">
        <f t="shared" si="41"/>
        <v>120.1</v>
      </c>
      <c r="AM72">
        <f t="shared" si="42"/>
        <v>97.8</v>
      </c>
      <c r="AN72">
        <f t="shared" si="43"/>
        <v>125.4</v>
      </c>
      <c r="AO72">
        <f t="shared" si="44"/>
        <v>116.1</v>
      </c>
      <c r="AP72">
        <f t="shared" si="45"/>
        <v>127.6</v>
      </c>
      <c r="AQ72">
        <f t="shared" si="46"/>
        <v>124</v>
      </c>
      <c r="AR72">
        <f t="shared" si="47"/>
        <v>126.4</v>
      </c>
      <c r="AS72">
        <f t="shared" si="48"/>
        <v>120.7</v>
      </c>
      <c r="AT72">
        <f t="shared" si="49"/>
        <v>115.8</v>
      </c>
      <c r="AU72">
        <f t="shared" si="50"/>
        <v>120</v>
      </c>
      <c r="AV72">
        <f t="shared" si="51"/>
        <v>116.5</v>
      </c>
      <c r="AW72">
        <f t="shared" si="52"/>
        <v>113</v>
      </c>
      <c r="AX72">
        <f t="shared" si="53"/>
        <v>116.8</v>
      </c>
      <c r="AY72">
        <f t="shared" si="54"/>
        <v>113.2</v>
      </c>
      <c r="AZ72">
        <f t="shared" si="55"/>
        <v>108.8</v>
      </c>
      <c r="BA72">
        <f t="shared" si="56"/>
        <v>114.3</v>
      </c>
      <c r="BB72">
        <f t="shared" si="57"/>
        <v>120.7</v>
      </c>
      <c r="BC72">
        <f t="shared" si="58"/>
        <v>110.4</v>
      </c>
      <c r="BD72">
        <f t="shared" si="59"/>
        <v>113.4</v>
      </c>
      <c r="BE72">
        <f t="shared" si="60"/>
        <v>118.4</v>
      </c>
      <c r="BF72">
        <f t="shared" si="61"/>
        <v>1577.1999999999998</v>
      </c>
      <c r="BG72">
        <f t="shared" si="62"/>
        <v>356.5</v>
      </c>
      <c r="BH72">
        <f t="shared" si="63"/>
        <v>223.60000000000002</v>
      </c>
      <c r="BI72">
        <f t="shared" si="64"/>
        <v>354</v>
      </c>
      <c r="BJ72">
        <f t="shared" si="65"/>
        <v>354.1</v>
      </c>
      <c r="BK72">
        <f t="shared" si="66"/>
        <v>221.8</v>
      </c>
    </row>
    <row r="73" spans="1:63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34"/>
        <v>122.9</v>
      </c>
      <c r="AF73">
        <f t="shared" si="35"/>
        <v>123.2</v>
      </c>
      <c r="AG73">
        <f t="shared" si="36"/>
        <v>123.5</v>
      </c>
      <c r="AH73">
        <f t="shared" si="37"/>
        <v>124.5</v>
      </c>
      <c r="AI73">
        <f t="shared" si="38"/>
        <v>107.6</v>
      </c>
      <c r="AJ73">
        <f t="shared" si="39"/>
        <v>125.7</v>
      </c>
      <c r="AK73">
        <f t="shared" si="40"/>
        <v>140.5</v>
      </c>
      <c r="AL73">
        <f t="shared" si="41"/>
        <v>117.6</v>
      </c>
      <c r="AM73">
        <f t="shared" si="42"/>
        <v>100.6</v>
      </c>
      <c r="AN73">
        <f t="shared" si="43"/>
        <v>119.1</v>
      </c>
      <c r="AO73">
        <f t="shared" si="44"/>
        <v>116.8</v>
      </c>
      <c r="AP73">
        <f t="shared" si="45"/>
        <v>126.1</v>
      </c>
      <c r="AQ73">
        <f t="shared" si="46"/>
        <v>123.6</v>
      </c>
      <c r="AR73">
        <f t="shared" si="47"/>
        <v>123</v>
      </c>
      <c r="AS73">
        <f t="shared" si="48"/>
        <v>122.6</v>
      </c>
      <c r="AT73">
        <f t="shared" si="49"/>
        <v>118.6</v>
      </c>
      <c r="AU73">
        <f t="shared" si="50"/>
        <v>122</v>
      </c>
      <c r="AV73">
        <f t="shared" si="51"/>
        <v>116.5</v>
      </c>
      <c r="AW73">
        <f t="shared" si="52"/>
        <v>115.7</v>
      </c>
      <c r="AX73">
        <f t="shared" si="53"/>
        <v>117.5</v>
      </c>
      <c r="AY73">
        <f t="shared" si="54"/>
        <v>115.1</v>
      </c>
      <c r="AZ73">
        <f t="shared" si="55"/>
        <v>110.1</v>
      </c>
      <c r="BA73">
        <f t="shared" si="56"/>
        <v>113.9</v>
      </c>
      <c r="BB73">
        <f t="shared" si="57"/>
        <v>119.5</v>
      </c>
      <c r="BC73">
        <f t="shared" si="58"/>
        <v>109.8</v>
      </c>
      <c r="BD73">
        <f t="shared" si="59"/>
        <v>113.8</v>
      </c>
      <c r="BE73">
        <f t="shared" si="60"/>
        <v>119.4</v>
      </c>
      <c r="BF73">
        <f t="shared" si="61"/>
        <v>1571.6999999999998</v>
      </c>
      <c r="BG73">
        <f t="shared" si="62"/>
        <v>363.2</v>
      </c>
      <c r="BH73">
        <f t="shared" si="63"/>
        <v>224.89999999999998</v>
      </c>
      <c r="BI73">
        <f t="shared" si="64"/>
        <v>353.5</v>
      </c>
      <c r="BJ73">
        <f t="shared" si="65"/>
        <v>350.7</v>
      </c>
      <c r="BK73">
        <f t="shared" si="66"/>
        <v>225.8</v>
      </c>
    </row>
    <row r="74" spans="1:63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34"/>
        <v>123.1</v>
      </c>
      <c r="AF74">
        <f t="shared" si="35"/>
        <v>123.1</v>
      </c>
      <c r="AG74">
        <f t="shared" si="36"/>
        <v>122.1</v>
      </c>
      <c r="AH74">
        <f t="shared" si="37"/>
        <v>124.9</v>
      </c>
      <c r="AI74">
        <f t="shared" si="38"/>
        <v>111</v>
      </c>
      <c r="AJ74">
        <f t="shared" si="39"/>
        <v>130.4</v>
      </c>
      <c r="AK74">
        <f t="shared" si="40"/>
        <v>132.30000000000001</v>
      </c>
      <c r="AL74">
        <f t="shared" si="41"/>
        <v>117.2</v>
      </c>
      <c r="AM74">
        <f t="shared" si="42"/>
        <v>100.5</v>
      </c>
      <c r="AN74">
        <f t="shared" si="43"/>
        <v>117.2</v>
      </c>
      <c r="AO74">
        <f t="shared" si="44"/>
        <v>117.9</v>
      </c>
      <c r="AP74">
        <f t="shared" si="45"/>
        <v>125.6</v>
      </c>
      <c r="AQ74">
        <f t="shared" si="46"/>
        <v>122.8</v>
      </c>
      <c r="AR74">
        <f t="shared" si="47"/>
        <v>122.7</v>
      </c>
      <c r="AS74">
        <f t="shared" si="48"/>
        <v>124.4</v>
      </c>
      <c r="AT74">
        <f t="shared" si="49"/>
        <v>121.6</v>
      </c>
      <c r="AU74">
        <f t="shared" si="50"/>
        <v>124</v>
      </c>
      <c r="AV74">
        <f t="shared" si="51"/>
        <v>117.3</v>
      </c>
      <c r="AW74">
        <f t="shared" si="52"/>
        <v>118.4</v>
      </c>
      <c r="AX74">
        <f t="shared" si="53"/>
        <v>118.9</v>
      </c>
      <c r="AY74">
        <f t="shared" si="54"/>
        <v>116.6</v>
      </c>
      <c r="AZ74">
        <f t="shared" si="55"/>
        <v>111</v>
      </c>
      <c r="BA74">
        <f t="shared" si="56"/>
        <v>114</v>
      </c>
      <c r="BB74">
        <f t="shared" si="57"/>
        <v>118.2</v>
      </c>
      <c r="BC74">
        <f t="shared" si="58"/>
        <v>110.2</v>
      </c>
      <c r="BD74">
        <f t="shared" si="59"/>
        <v>114.5</v>
      </c>
      <c r="BE74">
        <f t="shared" si="60"/>
        <v>120.3</v>
      </c>
      <c r="BF74">
        <f t="shared" si="61"/>
        <v>1568.1</v>
      </c>
      <c r="BG74">
        <f t="shared" si="62"/>
        <v>370</v>
      </c>
      <c r="BH74">
        <f t="shared" si="63"/>
        <v>226.8</v>
      </c>
      <c r="BI74">
        <f t="shared" si="64"/>
        <v>354.40000000000003</v>
      </c>
      <c r="BJ74">
        <f t="shared" si="65"/>
        <v>351.2</v>
      </c>
      <c r="BK74">
        <f t="shared" si="66"/>
        <v>229.4</v>
      </c>
    </row>
    <row r="75" spans="1:63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34"/>
        <v>124</v>
      </c>
      <c r="AF75">
        <f t="shared" si="35"/>
        <v>125.5</v>
      </c>
      <c r="AG75">
        <f t="shared" si="36"/>
        <v>126.6</v>
      </c>
      <c r="AH75">
        <f t="shared" si="37"/>
        <v>125.2</v>
      </c>
      <c r="AI75">
        <f t="shared" si="38"/>
        <v>104.3</v>
      </c>
      <c r="AJ75">
        <f t="shared" si="39"/>
        <v>121.3</v>
      </c>
      <c r="AK75">
        <f t="shared" si="40"/>
        <v>134.4</v>
      </c>
      <c r="AL75">
        <f t="shared" si="41"/>
        <v>122.9</v>
      </c>
      <c r="AM75">
        <f t="shared" si="42"/>
        <v>96.1</v>
      </c>
      <c r="AN75">
        <f t="shared" si="43"/>
        <v>126.6</v>
      </c>
      <c r="AO75">
        <f t="shared" si="44"/>
        <v>116.5</v>
      </c>
      <c r="AP75">
        <f t="shared" si="45"/>
        <v>128</v>
      </c>
      <c r="AQ75">
        <f t="shared" si="46"/>
        <v>123.5</v>
      </c>
      <c r="AR75">
        <f t="shared" si="47"/>
        <v>127.4</v>
      </c>
      <c r="AS75">
        <f t="shared" si="48"/>
        <v>121</v>
      </c>
      <c r="AT75">
        <f t="shared" si="49"/>
        <v>116.1</v>
      </c>
      <c r="AU75">
        <f t="shared" si="50"/>
        <v>120.2</v>
      </c>
      <c r="AV75">
        <f t="shared" si="51"/>
        <v>117.3</v>
      </c>
      <c r="AW75">
        <f t="shared" si="52"/>
        <v>113.4</v>
      </c>
      <c r="AX75">
        <f t="shared" si="53"/>
        <v>117.2</v>
      </c>
      <c r="AY75">
        <f t="shared" si="54"/>
        <v>113.7</v>
      </c>
      <c r="AZ75">
        <f t="shared" si="55"/>
        <v>107.9</v>
      </c>
      <c r="BA75">
        <f t="shared" si="56"/>
        <v>114.6</v>
      </c>
      <c r="BB75">
        <f t="shared" si="57"/>
        <v>120.8</v>
      </c>
      <c r="BC75">
        <f t="shared" si="58"/>
        <v>111.4</v>
      </c>
      <c r="BD75">
        <f t="shared" si="59"/>
        <v>113.4</v>
      </c>
      <c r="BE75">
        <f t="shared" si="60"/>
        <v>118.5</v>
      </c>
      <c r="BF75">
        <f t="shared" si="61"/>
        <v>1574.8999999999999</v>
      </c>
      <c r="BG75">
        <f t="shared" si="62"/>
        <v>357.3</v>
      </c>
      <c r="BH75">
        <f t="shared" si="63"/>
        <v>225.10000000000002</v>
      </c>
      <c r="BI75">
        <f t="shared" si="64"/>
        <v>355.3</v>
      </c>
      <c r="BJ75">
        <f t="shared" si="65"/>
        <v>355.4</v>
      </c>
      <c r="BK75">
        <f t="shared" si="66"/>
        <v>221.3</v>
      </c>
    </row>
    <row r="76" spans="1:63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34"/>
        <v>123.4</v>
      </c>
      <c r="AF76">
        <f t="shared" si="35"/>
        <v>123.9</v>
      </c>
      <c r="AG76">
        <f t="shared" si="36"/>
        <v>123.8</v>
      </c>
      <c r="AH76">
        <f t="shared" si="37"/>
        <v>125</v>
      </c>
      <c r="AI76">
        <f t="shared" si="38"/>
        <v>108.5</v>
      </c>
      <c r="AJ76">
        <f t="shared" si="39"/>
        <v>126.2</v>
      </c>
      <c r="AK76">
        <f t="shared" si="40"/>
        <v>133</v>
      </c>
      <c r="AL76">
        <f t="shared" si="41"/>
        <v>119.1</v>
      </c>
      <c r="AM76">
        <f t="shared" si="42"/>
        <v>99</v>
      </c>
      <c r="AN76">
        <f t="shared" si="43"/>
        <v>120.3</v>
      </c>
      <c r="AO76">
        <f t="shared" si="44"/>
        <v>117.3</v>
      </c>
      <c r="AP76">
        <f t="shared" si="45"/>
        <v>126.7</v>
      </c>
      <c r="AQ76">
        <f t="shared" si="46"/>
        <v>123.1</v>
      </c>
      <c r="AR76">
        <f t="shared" si="47"/>
        <v>124</v>
      </c>
      <c r="AS76">
        <f t="shared" si="48"/>
        <v>123.1</v>
      </c>
      <c r="AT76">
        <f t="shared" si="49"/>
        <v>119.3</v>
      </c>
      <c r="AU76">
        <f t="shared" si="50"/>
        <v>122.5</v>
      </c>
      <c r="AV76">
        <f t="shared" si="51"/>
        <v>117.3</v>
      </c>
      <c r="AW76">
        <f t="shared" si="52"/>
        <v>116.5</v>
      </c>
      <c r="AX76">
        <f t="shared" si="53"/>
        <v>118.1</v>
      </c>
      <c r="AY76">
        <f t="shared" si="54"/>
        <v>115.5</v>
      </c>
      <c r="AZ76">
        <f t="shared" si="55"/>
        <v>109.4</v>
      </c>
      <c r="BA76">
        <f t="shared" si="56"/>
        <v>114.3</v>
      </c>
      <c r="BB76">
        <f t="shared" si="57"/>
        <v>119.7</v>
      </c>
      <c r="BC76">
        <f t="shared" si="58"/>
        <v>110.7</v>
      </c>
      <c r="BD76">
        <f t="shared" si="59"/>
        <v>114</v>
      </c>
      <c r="BE76">
        <f t="shared" si="60"/>
        <v>119.5</v>
      </c>
      <c r="BF76">
        <f t="shared" si="61"/>
        <v>1569.3</v>
      </c>
      <c r="BG76">
        <f t="shared" si="62"/>
        <v>364.9</v>
      </c>
      <c r="BH76">
        <f t="shared" si="63"/>
        <v>226.2</v>
      </c>
      <c r="BI76">
        <f t="shared" si="64"/>
        <v>355.1</v>
      </c>
      <c r="BJ76">
        <f t="shared" si="65"/>
        <v>352.3</v>
      </c>
      <c r="BK76">
        <f t="shared" si="66"/>
        <v>225.9</v>
      </c>
    </row>
    <row r="77" spans="1:63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34"/>
        <v>123.4</v>
      </c>
      <c r="AF77">
        <f t="shared" si="35"/>
        <v>124.4</v>
      </c>
      <c r="AG77">
        <f t="shared" si="36"/>
        <v>122.1</v>
      </c>
      <c r="AH77">
        <f t="shared" si="37"/>
        <v>125.8</v>
      </c>
      <c r="AI77">
        <f t="shared" si="38"/>
        <v>111.5</v>
      </c>
      <c r="AJ77">
        <f t="shared" si="39"/>
        <v>129.4</v>
      </c>
      <c r="AK77">
        <f t="shared" si="40"/>
        <v>128.19999999999999</v>
      </c>
      <c r="AL77">
        <f t="shared" si="41"/>
        <v>118.8</v>
      </c>
      <c r="AM77">
        <f t="shared" si="42"/>
        <v>100</v>
      </c>
      <c r="AN77">
        <f t="shared" si="43"/>
        <v>118.6</v>
      </c>
      <c r="AO77">
        <f t="shared" si="44"/>
        <v>118.8</v>
      </c>
      <c r="AP77">
        <f t="shared" si="45"/>
        <v>126.8</v>
      </c>
      <c r="AQ77">
        <f t="shared" si="46"/>
        <v>122.8</v>
      </c>
      <c r="AR77">
        <f t="shared" si="47"/>
        <v>124.2</v>
      </c>
      <c r="AS77">
        <f t="shared" si="48"/>
        <v>125.4</v>
      </c>
      <c r="AT77">
        <f t="shared" si="49"/>
        <v>122.7</v>
      </c>
      <c r="AU77">
        <f t="shared" si="50"/>
        <v>125</v>
      </c>
      <c r="AV77">
        <f t="shared" si="51"/>
        <v>118.1</v>
      </c>
      <c r="AW77">
        <f t="shared" si="52"/>
        <v>120</v>
      </c>
      <c r="AX77">
        <f t="shared" si="53"/>
        <v>119.6</v>
      </c>
      <c r="AY77">
        <f t="shared" si="54"/>
        <v>117.7</v>
      </c>
      <c r="AZ77">
        <f t="shared" si="55"/>
        <v>110.9</v>
      </c>
      <c r="BA77">
        <f t="shared" si="56"/>
        <v>114.8</v>
      </c>
      <c r="BB77">
        <f t="shared" si="57"/>
        <v>118.7</v>
      </c>
      <c r="BC77">
        <f t="shared" si="58"/>
        <v>110.8</v>
      </c>
      <c r="BD77">
        <f t="shared" si="59"/>
        <v>115</v>
      </c>
      <c r="BE77">
        <f t="shared" si="60"/>
        <v>120.6</v>
      </c>
      <c r="BF77">
        <f t="shared" si="61"/>
        <v>1570.5999999999997</v>
      </c>
      <c r="BG77">
        <f t="shared" si="62"/>
        <v>373.1</v>
      </c>
      <c r="BH77">
        <f t="shared" si="63"/>
        <v>228.5</v>
      </c>
      <c r="BI77">
        <f t="shared" si="64"/>
        <v>356.4</v>
      </c>
      <c r="BJ77">
        <f t="shared" si="65"/>
        <v>354</v>
      </c>
      <c r="BK77">
        <f t="shared" si="66"/>
        <v>230.9</v>
      </c>
    </row>
    <row r="78" spans="1:63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34"/>
        <v>124.3</v>
      </c>
      <c r="AF78">
        <f t="shared" si="35"/>
        <v>126.5</v>
      </c>
      <c r="AG78">
        <f t="shared" si="36"/>
        <v>119.5</v>
      </c>
      <c r="AH78">
        <f t="shared" si="37"/>
        <v>125.6</v>
      </c>
      <c r="AI78">
        <f t="shared" si="38"/>
        <v>104.9</v>
      </c>
      <c r="AJ78">
        <f t="shared" si="39"/>
        <v>121.6</v>
      </c>
      <c r="AK78">
        <f t="shared" si="40"/>
        <v>131.80000000000001</v>
      </c>
      <c r="AL78">
        <f t="shared" si="41"/>
        <v>125.1</v>
      </c>
      <c r="AM78">
        <f t="shared" si="42"/>
        <v>95</v>
      </c>
      <c r="AN78">
        <f t="shared" si="43"/>
        <v>127.7</v>
      </c>
      <c r="AO78">
        <f t="shared" si="44"/>
        <v>116.8</v>
      </c>
      <c r="AP78">
        <f t="shared" si="45"/>
        <v>128.6</v>
      </c>
      <c r="AQ78">
        <f t="shared" si="46"/>
        <v>123.7</v>
      </c>
      <c r="AR78">
        <f t="shared" si="47"/>
        <v>128.1</v>
      </c>
      <c r="AS78">
        <f t="shared" si="48"/>
        <v>121.3</v>
      </c>
      <c r="AT78">
        <f t="shared" si="49"/>
        <v>116.5</v>
      </c>
      <c r="AU78">
        <f t="shared" si="50"/>
        <v>120.6</v>
      </c>
      <c r="AV78">
        <f t="shared" si="51"/>
        <v>118.1</v>
      </c>
      <c r="AW78">
        <f t="shared" si="52"/>
        <v>114</v>
      </c>
      <c r="AX78">
        <f t="shared" si="53"/>
        <v>117.7</v>
      </c>
      <c r="AY78">
        <f t="shared" si="54"/>
        <v>114.1</v>
      </c>
      <c r="AZ78">
        <f t="shared" si="55"/>
        <v>106.8</v>
      </c>
      <c r="BA78">
        <f t="shared" si="56"/>
        <v>114.9</v>
      </c>
      <c r="BB78">
        <f t="shared" si="57"/>
        <v>120.4</v>
      </c>
      <c r="BC78">
        <f t="shared" si="58"/>
        <v>111.7</v>
      </c>
      <c r="BD78">
        <f t="shared" si="59"/>
        <v>113.2</v>
      </c>
      <c r="BE78">
        <f t="shared" si="60"/>
        <v>118.7</v>
      </c>
      <c r="BF78">
        <f t="shared" si="61"/>
        <v>1571.1000000000001</v>
      </c>
      <c r="BG78">
        <f t="shared" si="62"/>
        <v>358.4</v>
      </c>
      <c r="BH78">
        <f t="shared" si="63"/>
        <v>225.8</v>
      </c>
      <c r="BI78">
        <f t="shared" si="64"/>
        <v>356.20000000000005</v>
      </c>
      <c r="BJ78">
        <f t="shared" si="65"/>
        <v>356.2</v>
      </c>
      <c r="BK78">
        <f t="shared" si="66"/>
        <v>220.8</v>
      </c>
    </row>
    <row r="79" spans="1:63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34"/>
        <v>123.7</v>
      </c>
      <c r="AF79">
        <f t="shared" si="35"/>
        <v>125.1</v>
      </c>
      <c r="AG79">
        <f t="shared" si="36"/>
        <v>121.1</v>
      </c>
      <c r="AH79">
        <f t="shared" si="37"/>
        <v>125.7</v>
      </c>
      <c r="AI79">
        <f t="shared" si="38"/>
        <v>109.1</v>
      </c>
      <c r="AJ79">
        <f t="shared" si="39"/>
        <v>125.8</v>
      </c>
      <c r="AK79">
        <f t="shared" si="40"/>
        <v>129.4</v>
      </c>
      <c r="AL79">
        <f t="shared" si="41"/>
        <v>120.9</v>
      </c>
      <c r="AM79">
        <f t="shared" si="42"/>
        <v>98.3</v>
      </c>
      <c r="AN79">
        <f t="shared" si="43"/>
        <v>121.6</v>
      </c>
      <c r="AO79">
        <f t="shared" si="44"/>
        <v>118</v>
      </c>
      <c r="AP79">
        <f t="shared" si="45"/>
        <v>127.6</v>
      </c>
      <c r="AQ79">
        <f t="shared" si="46"/>
        <v>123.1</v>
      </c>
      <c r="AR79">
        <f t="shared" si="47"/>
        <v>125.2</v>
      </c>
      <c r="AS79">
        <f t="shared" si="48"/>
        <v>123.8</v>
      </c>
      <c r="AT79">
        <f t="shared" si="49"/>
        <v>120.1</v>
      </c>
      <c r="AU79">
        <f t="shared" si="50"/>
        <v>123.3</v>
      </c>
      <c r="AV79">
        <f t="shared" si="51"/>
        <v>118.1</v>
      </c>
      <c r="AW79">
        <f t="shared" si="52"/>
        <v>117.7</v>
      </c>
      <c r="AX79">
        <f t="shared" si="53"/>
        <v>118.7</v>
      </c>
      <c r="AY79">
        <f t="shared" si="54"/>
        <v>116.3</v>
      </c>
      <c r="AZ79">
        <f t="shared" si="55"/>
        <v>108.7</v>
      </c>
      <c r="BA79">
        <f t="shared" si="56"/>
        <v>114.9</v>
      </c>
      <c r="BB79">
        <f t="shared" si="57"/>
        <v>119.7</v>
      </c>
      <c r="BC79">
        <f t="shared" si="58"/>
        <v>111.2</v>
      </c>
      <c r="BD79">
        <f t="shared" si="59"/>
        <v>114.1</v>
      </c>
      <c r="BE79">
        <f t="shared" si="60"/>
        <v>119.7</v>
      </c>
      <c r="BF79">
        <f t="shared" si="61"/>
        <v>1569.3999999999996</v>
      </c>
      <c r="BG79">
        <f t="shared" si="62"/>
        <v>367.2</v>
      </c>
      <c r="BH79">
        <f t="shared" si="63"/>
        <v>227.5</v>
      </c>
      <c r="BI79">
        <f t="shared" si="64"/>
        <v>356.5</v>
      </c>
      <c r="BJ79">
        <f t="shared" si="65"/>
        <v>354.20000000000005</v>
      </c>
      <c r="BK79">
        <f t="shared" si="66"/>
        <v>226.4</v>
      </c>
    </row>
    <row r="80" spans="1:63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34"/>
        <v>123.3</v>
      </c>
      <c r="AF80">
        <f t="shared" si="35"/>
        <v>124.7</v>
      </c>
      <c r="AG80">
        <f t="shared" si="36"/>
        <v>118.9</v>
      </c>
      <c r="AH80">
        <f t="shared" si="37"/>
        <v>126</v>
      </c>
      <c r="AI80">
        <f t="shared" si="38"/>
        <v>111.8</v>
      </c>
      <c r="AJ80">
        <f t="shared" si="39"/>
        <v>130.9</v>
      </c>
      <c r="AK80">
        <f t="shared" si="40"/>
        <v>128</v>
      </c>
      <c r="AL80">
        <f t="shared" si="41"/>
        <v>119.9</v>
      </c>
      <c r="AM80">
        <f t="shared" si="42"/>
        <v>98.9</v>
      </c>
      <c r="AN80">
        <f t="shared" si="43"/>
        <v>119.4</v>
      </c>
      <c r="AO80">
        <f t="shared" si="44"/>
        <v>118.9</v>
      </c>
      <c r="AP80">
        <f t="shared" si="45"/>
        <v>127.7</v>
      </c>
      <c r="AQ80">
        <f t="shared" si="46"/>
        <v>123.1</v>
      </c>
      <c r="AR80">
        <f t="shared" si="47"/>
        <v>124.7</v>
      </c>
      <c r="AS80">
        <f t="shared" si="48"/>
        <v>126</v>
      </c>
      <c r="AT80">
        <f t="shared" si="49"/>
        <v>122.9</v>
      </c>
      <c r="AU80">
        <f t="shared" si="50"/>
        <v>125.5</v>
      </c>
      <c r="AV80">
        <f t="shared" si="51"/>
        <v>118.6</v>
      </c>
      <c r="AW80">
        <f t="shared" si="52"/>
        <v>120.6</v>
      </c>
      <c r="AX80">
        <f t="shared" si="53"/>
        <v>120.2</v>
      </c>
      <c r="AY80">
        <f t="shared" si="54"/>
        <v>118.2</v>
      </c>
      <c r="AZ80">
        <f t="shared" si="55"/>
        <v>111.6</v>
      </c>
      <c r="BA80">
        <f t="shared" si="56"/>
        <v>115.5</v>
      </c>
      <c r="BB80">
        <f t="shared" si="57"/>
        <v>119.4</v>
      </c>
      <c r="BC80">
        <f t="shared" si="58"/>
        <v>110.8</v>
      </c>
      <c r="BD80">
        <f t="shared" si="59"/>
        <v>115.5</v>
      </c>
      <c r="BE80">
        <f t="shared" si="60"/>
        <v>121.1</v>
      </c>
      <c r="BF80">
        <f t="shared" si="61"/>
        <v>1571.5</v>
      </c>
      <c r="BG80">
        <f t="shared" si="62"/>
        <v>374.4</v>
      </c>
      <c r="BH80">
        <f t="shared" si="63"/>
        <v>229</v>
      </c>
      <c r="BI80">
        <f t="shared" si="64"/>
        <v>358.20000000000005</v>
      </c>
      <c r="BJ80">
        <f t="shared" si="65"/>
        <v>355.7</v>
      </c>
      <c r="BK80">
        <f t="shared" si="66"/>
        <v>232.2</v>
      </c>
    </row>
    <row r="81" spans="1:63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34"/>
        <v>124</v>
      </c>
      <c r="AF81">
        <f t="shared" si="35"/>
        <v>126.7</v>
      </c>
      <c r="AG81">
        <f t="shared" si="36"/>
        <v>113.5</v>
      </c>
      <c r="AH81">
        <f t="shared" si="37"/>
        <v>125.9</v>
      </c>
      <c r="AI81">
        <f t="shared" si="38"/>
        <v>104.8</v>
      </c>
      <c r="AJ81">
        <f t="shared" si="39"/>
        <v>123.8</v>
      </c>
      <c r="AK81">
        <f t="shared" si="40"/>
        <v>131.4</v>
      </c>
      <c r="AL81">
        <f t="shared" si="41"/>
        <v>127.2</v>
      </c>
      <c r="AM81">
        <f t="shared" si="42"/>
        <v>93.2</v>
      </c>
      <c r="AN81">
        <f t="shared" si="43"/>
        <v>127.4</v>
      </c>
      <c r="AO81">
        <f t="shared" si="44"/>
        <v>117</v>
      </c>
      <c r="AP81">
        <f t="shared" si="45"/>
        <v>129.19999999999999</v>
      </c>
      <c r="AQ81">
        <f t="shared" si="46"/>
        <v>123.9</v>
      </c>
      <c r="AR81">
        <f t="shared" si="47"/>
        <v>128.80000000000001</v>
      </c>
      <c r="AS81">
        <f t="shared" si="48"/>
        <v>121.7</v>
      </c>
      <c r="AT81">
        <f t="shared" si="49"/>
        <v>116.9</v>
      </c>
      <c r="AU81">
        <f t="shared" si="50"/>
        <v>120.9</v>
      </c>
      <c r="AV81">
        <f t="shared" si="51"/>
        <v>118.6</v>
      </c>
      <c r="AW81">
        <f t="shared" si="52"/>
        <v>114.4</v>
      </c>
      <c r="AX81">
        <f t="shared" si="53"/>
        <v>118</v>
      </c>
      <c r="AY81">
        <f t="shared" si="54"/>
        <v>114.3</v>
      </c>
      <c r="AZ81">
        <f t="shared" si="55"/>
        <v>108.4</v>
      </c>
      <c r="BA81">
        <f t="shared" si="56"/>
        <v>115.4</v>
      </c>
      <c r="BB81">
        <f t="shared" si="57"/>
        <v>120.6</v>
      </c>
      <c r="BC81">
        <f t="shared" si="58"/>
        <v>111.3</v>
      </c>
      <c r="BD81">
        <f t="shared" si="59"/>
        <v>113.8</v>
      </c>
      <c r="BE81">
        <f t="shared" si="60"/>
        <v>119.1</v>
      </c>
      <c r="BF81">
        <f t="shared" si="61"/>
        <v>1568.0000000000002</v>
      </c>
      <c r="BG81">
        <f t="shared" si="62"/>
        <v>359.5</v>
      </c>
      <c r="BH81">
        <f t="shared" si="63"/>
        <v>225.6</v>
      </c>
      <c r="BI81">
        <f t="shared" si="64"/>
        <v>357.2</v>
      </c>
      <c r="BJ81">
        <f t="shared" si="65"/>
        <v>358</v>
      </c>
      <c r="BK81">
        <f t="shared" si="66"/>
        <v>222.8</v>
      </c>
    </row>
    <row r="82" spans="1:63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34"/>
        <v>123.5</v>
      </c>
      <c r="AF82">
        <f t="shared" si="35"/>
        <v>125.4</v>
      </c>
      <c r="AG82">
        <f t="shared" si="36"/>
        <v>116.8</v>
      </c>
      <c r="AH82">
        <f t="shared" si="37"/>
        <v>126</v>
      </c>
      <c r="AI82">
        <f t="shared" si="38"/>
        <v>109.2</v>
      </c>
      <c r="AJ82">
        <f t="shared" si="39"/>
        <v>127.6</v>
      </c>
      <c r="AK82">
        <f t="shared" si="40"/>
        <v>129.19999999999999</v>
      </c>
      <c r="AL82">
        <f t="shared" si="41"/>
        <v>122.4</v>
      </c>
      <c r="AM82">
        <f t="shared" si="42"/>
        <v>97</v>
      </c>
      <c r="AN82">
        <f t="shared" si="43"/>
        <v>122.1</v>
      </c>
      <c r="AO82">
        <f t="shared" si="44"/>
        <v>118.1</v>
      </c>
      <c r="AP82">
        <f t="shared" si="45"/>
        <v>128.4</v>
      </c>
      <c r="AQ82">
        <f t="shared" si="46"/>
        <v>123.4</v>
      </c>
      <c r="AR82">
        <f t="shared" si="47"/>
        <v>125.8</v>
      </c>
      <c r="AS82">
        <f t="shared" si="48"/>
        <v>124.3</v>
      </c>
      <c r="AT82">
        <f t="shared" si="49"/>
        <v>120.4</v>
      </c>
      <c r="AU82">
        <f t="shared" si="50"/>
        <v>123.7</v>
      </c>
      <c r="AV82">
        <f t="shared" si="51"/>
        <v>118.6</v>
      </c>
      <c r="AW82">
        <f t="shared" si="52"/>
        <v>118.3</v>
      </c>
      <c r="AX82">
        <f t="shared" si="53"/>
        <v>119.2</v>
      </c>
      <c r="AY82">
        <f t="shared" si="54"/>
        <v>116.7</v>
      </c>
      <c r="AZ82">
        <f t="shared" si="55"/>
        <v>109.9</v>
      </c>
      <c r="BA82">
        <f t="shared" si="56"/>
        <v>115.4</v>
      </c>
      <c r="BB82">
        <f t="shared" si="57"/>
        <v>120.1</v>
      </c>
      <c r="BC82">
        <f t="shared" si="58"/>
        <v>111</v>
      </c>
      <c r="BD82">
        <f t="shared" si="59"/>
        <v>114.7</v>
      </c>
      <c r="BE82">
        <f t="shared" si="60"/>
        <v>120.2</v>
      </c>
      <c r="BF82">
        <f t="shared" si="61"/>
        <v>1569.1</v>
      </c>
      <c r="BG82">
        <f t="shared" si="62"/>
        <v>368.4</v>
      </c>
      <c r="BH82">
        <f t="shared" si="63"/>
        <v>227.7</v>
      </c>
      <c r="BI82">
        <f t="shared" si="64"/>
        <v>357.9</v>
      </c>
      <c r="BJ82">
        <f t="shared" si="65"/>
        <v>355.9</v>
      </c>
      <c r="BK82">
        <f t="shared" si="66"/>
        <v>228.2</v>
      </c>
    </row>
    <row r="83" spans="1:63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34"/>
        <v>123.3</v>
      </c>
      <c r="AF83">
        <f t="shared" si="35"/>
        <v>125.5</v>
      </c>
      <c r="AG83">
        <f t="shared" si="36"/>
        <v>117.2</v>
      </c>
      <c r="AH83">
        <f t="shared" si="37"/>
        <v>126.8</v>
      </c>
      <c r="AI83">
        <f t="shared" si="38"/>
        <v>111.9</v>
      </c>
      <c r="AJ83">
        <f t="shared" si="39"/>
        <v>134.19999999999999</v>
      </c>
      <c r="AK83">
        <f t="shared" si="40"/>
        <v>127.5</v>
      </c>
      <c r="AL83">
        <f t="shared" si="41"/>
        <v>121.5</v>
      </c>
      <c r="AM83">
        <f t="shared" si="42"/>
        <v>97.8</v>
      </c>
      <c r="AN83">
        <f t="shared" si="43"/>
        <v>119.8</v>
      </c>
      <c r="AO83">
        <f t="shared" si="44"/>
        <v>119.4</v>
      </c>
      <c r="AP83">
        <f t="shared" si="45"/>
        <v>128.69999999999999</v>
      </c>
      <c r="AQ83">
        <f t="shared" si="46"/>
        <v>123.6</v>
      </c>
      <c r="AR83">
        <f t="shared" si="47"/>
        <v>125.7</v>
      </c>
      <c r="AS83">
        <f t="shared" si="48"/>
        <v>126.4</v>
      </c>
      <c r="AT83">
        <f t="shared" si="49"/>
        <v>123.3</v>
      </c>
      <c r="AU83">
        <f t="shared" si="50"/>
        <v>126</v>
      </c>
      <c r="AV83">
        <f t="shared" si="51"/>
        <v>119.2</v>
      </c>
      <c r="AW83">
        <f t="shared" si="52"/>
        <v>121.2</v>
      </c>
      <c r="AX83">
        <f t="shared" si="53"/>
        <v>120.9</v>
      </c>
      <c r="AY83">
        <f t="shared" si="54"/>
        <v>118.6</v>
      </c>
      <c r="AZ83">
        <f t="shared" si="55"/>
        <v>111.9</v>
      </c>
      <c r="BA83">
        <f t="shared" si="56"/>
        <v>116.2</v>
      </c>
      <c r="BB83">
        <f t="shared" si="57"/>
        <v>119.9</v>
      </c>
      <c r="BC83">
        <f t="shared" si="58"/>
        <v>111.6</v>
      </c>
      <c r="BD83">
        <f t="shared" si="59"/>
        <v>116</v>
      </c>
      <c r="BE83">
        <f t="shared" si="60"/>
        <v>121.5</v>
      </c>
      <c r="BF83">
        <f t="shared" si="61"/>
        <v>1577.2</v>
      </c>
      <c r="BG83">
        <f t="shared" si="62"/>
        <v>375.7</v>
      </c>
      <c r="BH83">
        <f t="shared" si="63"/>
        <v>230.2</v>
      </c>
      <c r="BI83">
        <f t="shared" si="64"/>
        <v>360</v>
      </c>
      <c r="BJ83">
        <f t="shared" si="65"/>
        <v>357.9</v>
      </c>
      <c r="BK83">
        <f t="shared" si="66"/>
        <v>233.10000000000002</v>
      </c>
    </row>
    <row r="84" spans="1:63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34"/>
        <v>123.8</v>
      </c>
      <c r="AF84">
        <f t="shared" si="35"/>
        <v>128.19999999999999</v>
      </c>
      <c r="AG84">
        <f t="shared" si="36"/>
        <v>110</v>
      </c>
      <c r="AH84">
        <f t="shared" si="37"/>
        <v>126.3</v>
      </c>
      <c r="AI84">
        <f t="shared" si="38"/>
        <v>104.5</v>
      </c>
      <c r="AJ84">
        <f t="shared" si="39"/>
        <v>130.6</v>
      </c>
      <c r="AK84">
        <f t="shared" si="40"/>
        <v>130.80000000000001</v>
      </c>
      <c r="AL84">
        <f t="shared" si="41"/>
        <v>131.30000000000001</v>
      </c>
      <c r="AM84">
        <f t="shared" si="42"/>
        <v>91.6</v>
      </c>
      <c r="AN84">
        <f t="shared" si="43"/>
        <v>127.7</v>
      </c>
      <c r="AO84">
        <f t="shared" si="44"/>
        <v>117.2</v>
      </c>
      <c r="AP84">
        <f t="shared" si="45"/>
        <v>129.5</v>
      </c>
      <c r="AQ84">
        <f t="shared" si="46"/>
        <v>124.6</v>
      </c>
      <c r="AR84">
        <f t="shared" si="47"/>
        <v>130.1</v>
      </c>
      <c r="AS84">
        <f t="shared" si="48"/>
        <v>122.1</v>
      </c>
      <c r="AT84">
        <f t="shared" si="49"/>
        <v>117.2</v>
      </c>
      <c r="AU84">
        <f t="shared" si="50"/>
        <v>121.3</v>
      </c>
      <c r="AV84">
        <f t="shared" si="51"/>
        <v>119.2</v>
      </c>
      <c r="AW84">
        <f t="shared" si="52"/>
        <v>114.7</v>
      </c>
      <c r="AX84">
        <f t="shared" si="53"/>
        <v>118.4</v>
      </c>
      <c r="AY84">
        <f t="shared" si="54"/>
        <v>114.6</v>
      </c>
      <c r="AZ84">
        <f t="shared" si="55"/>
        <v>108.4</v>
      </c>
      <c r="BA84">
        <f t="shared" si="56"/>
        <v>115.6</v>
      </c>
      <c r="BB84">
        <f t="shared" si="57"/>
        <v>121.7</v>
      </c>
      <c r="BC84">
        <f t="shared" si="58"/>
        <v>111.8</v>
      </c>
      <c r="BD84">
        <f t="shared" si="59"/>
        <v>114.2</v>
      </c>
      <c r="BE84">
        <f t="shared" si="60"/>
        <v>119.7</v>
      </c>
      <c r="BF84">
        <f t="shared" si="61"/>
        <v>1576.1</v>
      </c>
      <c r="BG84">
        <f t="shared" si="62"/>
        <v>360.6</v>
      </c>
      <c r="BH84">
        <f t="shared" si="63"/>
        <v>226.39999999999998</v>
      </c>
      <c r="BI84">
        <f t="shared" si="64"/>
        <v>359.3</v>
      </c>
      <c r="BJ84">
        <f t="shared" si="65"/>
        <v>359.9</v>
      </c>
      <c r="BK84">
        <f t="shared" si="66"/>
        <v>223.10000000000002</v>
      </c>
    </row>
    <row r="85" spans="1:63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34"/>
        <v>123.5</v>
      </c>
      <c r="AF85">
        <f t="shared" si="35"/>
        <v>126.4</v>
      </c>
      <c r="AG85">
        <f t="shared" si="36"/>
        <v>114.4</v>
      </c>
      <c r="AH85">
        <f t="shared" si="37"/>
        <v>126.6</v>
      </c>
      <c r="AI85">
        <f t="shared" si="38"/>
        <v>109.2</v>
      </c>
      <c r="AJ85">
        <f t="shared" si="39"/>
        <v>132.5</v>
      </c>
      <c r="AK85">
        <f t="shared" si="40"/>
        <v>128.6</v>
      </c>
      <c r="AL85">
        <f t="shared" si="41"/>
        <v>124.8</v>
      </c>
      <c r="AM85">
        <f t="shared" si="42"/>
        <v>95.7</v>
      </c>
      <c r="AN85">
        <f t="shared" si="43"/>
        <v>122.4</v>
      </c>
      <c r="AO85">
        <f t="shared" si="44"/>
        <v>118.5</v>
      </c>
      <c r="AP85">
        <f t="shared" si="45"/>
        <v>129.1</v>
      </c>
      <c r="AQ85">
        <f t="shared" si="46"/>
        <v>124</v>
      </c>
      <c r="AR85">
        <f t="shared" si="47"/>
        <v>126.9</v>
      </c>
      <c r="AS85">
        <f t="shared" si="48"/>
        <v>124.7</v>
      </c>
      <c r="AT85">
        <f t="shared" si="49"/>
        <v>120.8</v>
      </c>
      <c r="AU85">
        <f t="shared" si="50"/>
        <v>124.1</v>
      </c>
      <c r="AV85">
        <f t="shared" si="51"/>
        <v>119.2</v>
      </c>
      <c r="AW85">
        <f t="shared" si="52"/>
        <v>118.7</v>
      </c>
      <c r="AX85">
        <f t="shared" si="53"/>
        <v>119.7</v>
      </c>
      <c r="AY85">
        <f t="shared" si="54"/>
        <v>117.1</v>
      </c>
      <c r="AZ85">
        <f t="shared" si="55"/>
        <v>110.1</v>
      </c>
      <c r="BA85">
        <f t="shared" si="56"/>
        <v>115.9</v>
      </c>
      <c r="BB85">
        <f t="shared" si="57"/>
        <v>121</v>
      </c>
      <c r="BC85">
        <f t="shared" si="58"/>
        <v>111.7</v>
      </c>
      <c r="BD85">
        <f t="shared" si="59"/>
        <v>115.1</v>
      </c>
      <c r="BE85">
        <f t="shared" si="60"/>
        <v>120.7</v>
      </c>
      <c r="BF85">
        <f t="shared" si="61"/>
        <v>1575.7</v>
      </c>
      <c r="BG85">
        <f t="shared" si="62"/>
        <v>369.6</v>
      </c>
      <c r="BH85">
        <f t="shared" si="63"/>
        <v>228.8</v>
      </c>
      <c r="BI85">
        <f t="shared" si="64"/>
        <v>359.9</v>
      </c>
      <c r="BJ85">
        <f t="shared" si="65"/>
        <v>357.9</v>
      </c>
      <c r="BK85">
        <f t="shared" si="66"/>
        <v>228.8</v>
      </c>
    </row>
    <row r="86" spans="1:63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34"/>
        <v>123.5</v>
      </c>
      <c r="AF86">
        <f t="shared" si="35"/>
        <v>127.1</v>
      </c>
      <c r="AG86">
        <f t="shared" si="36"/>
        <v>117.3</v>
      </c>
      <c r="AH86">
        <f t="shared" si="37"/>
        <v>127.7</v>
      </c>
      <c r="AI86">
        <f t="shared" si="38"/>
        <v>112.5</v>
      </c>
      <c r="AJ86">
        <f t="shared" si="39"/>
        <v>134.1</v>
      </c>
      <c r="AK86">
        <f t="shared" si="40"/>
        <v>128.5</v>
      </c>
      <c r="AL86">
        <f t="shared" si="41"/>
        <v>124.3</v>
      </c>
      <c r="AM86">
        <f t="shared" si="42"/>
        <v>97.6</v>
      </c>
      <c r="AN86">
        <f t="shared" si="43"/>
        <v>120.7</v>
      </c>
      <c r="AO86">
        <f t="shared" si="44"/>
        <v>120.2</v>
      </c>
      <c r="AP86">
        <f t="shared" si="45"/>
        <v>129.80000000000001</v>
      </c>
      <c r="AQ86">
        <f t="shared" si="46"/>
        <v>124.4</v>
      </c>
      <c r="AR86">
        <f t="shared" si="47"/>
        <v>126.7</v>
      </c>
      <c r="AS86">
        <f t="shared" si="48"/>
        <v>127.3</v>
      </c>
      <c r="AT86">
        <f t="shared" si="49"/>
        <v>124.1</v>
      </c>
      <c r="AU86">
        <f t="shared" si="50"/>
        <v>126.8</v>
      </c>
      <c r="AV86">
        <f t="shared" si="51"/>
        <v>119.6</v>
      </c>
      <c r="AW86">
        <f t="shared" si="52"/>
        <v>121.9</v>
      </c>
      <c r="AX86">
        <f t="shared" si="53"/>
        <v>121.5</v>
      </c>
      <c r="AY86">
        <f t="shared" si="54"/>
        <v>119.4</v>
      </c>
      <c r="AZ86">
        <f t="shared" si="55"/>
        <v>113.3</v>
      </c>
      <c r="BA86">
        <f t="shared" si="56"/>
        <v>116.7</v>
      </c>
      <c r="BB86">
        <f t="shared" si="57"/>
        <v>120.5</v>
      </c>
      <c r="BC86">
        <f t="shared" si="58"/>
        <v>112.3</v>
      </c>
      <c r="BD86">
        <f t="shared" si="59"/>
        <v>116.9</v>
      </c>
      <c r="BE86">
        <f t="shared" si="60"/>
        <v>122.4</v>
      </c>
      <c r="BF86">
        <f t="shared" si="61"/>
        <v>1587.7</v>
      </c>
      <c r="BG86">
        <f t="shared" si="62"/>
        <v>378.2</v>
      </c>
      <c r="BH86">
        <f t="shared" si="63"/>
        <v>231.7</v>
      </c>
      <c r="BI86">
        <f t="shared" si="64"/>
        <v>361.6</v>
      </c>
      <c r="BJ86">
        <f t="shared" si="65"/>
        <v>360.3</v>
      </c>
      <c r="BK86">
        <f t="shared" si="66"/>
        <v>235.2</v>
      </c>
    </row>
    <row r="87" spans="1:63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34"/>
        <v>123.8</v>
      </c>
      <c r="AF87">
        <f t="shared" si="35"/>
        <v>129.69999999999999</v>
      </c>
      <c r="AG87">
        <f t="shared" si="36"/>
        <v>111.3</v>
      </c>
      <c r="AH87">
        <f t="shared" si="37"/>
        <v>126.6</v>
      </c>
      <c r="AI87">
        <f t="shared" si="38"/>
        <v>105.2</v>
      </c>
      <c r="AJ87">
        <f t="shared" si="39"/>
        <v>130.80000000000001</v>
      </c>
      <c r="AK87">
        <f t="shared" si="40"/>
        <v>135.6</v>
      </c>
      <c r="AL87">
        <f t="shared" si="41"/>
        <v>142.6</v>
      </c>
      <c r="AM87">
        <f t="shared" si="42"/>
        <v>90.8</v>
      </c>
      <c r="AN87">
        <f t="shared" si="43"/>
        <v>128.80000000000001</v>
      </c>
      <c r="AO87">
        <f t="shared" si="44"/>
        <v>117.7</v>
      </c>
      <c r="AP87">
        <f t="shared" si="45"/>
        <v>129.9</v>
      </c>
      <c r="AQ87">
        <f t="shared" si="46"/>
        <v>126.1</v>
      </c>
      <c r="AR87">
        <f t="shared" si="47"/>
        <v>131.30000000000001</v>
      </c>
      <c r="AS87">
        <f t="shared" si="48"/>
        <v>122.4</v>
      </c>
      <c r="AT87">
        <f t="shared" si="49"/>
        <v>117.4</v>
      </c>
      <c r="AU87">
        <f t="shared" si="50"/>
        <v>121.6</v>
      </c>
      <c r="AV87">
        <f t="shared" si="51"/>
        <v>119.6</v>
      </c>
      <c r="AW87">
        <f t="shared" si="52"/>
        <v>114.9</v>
      </c>
      <c r="AX87">
        <f t="shared" si="53"/>
        <v>118.7</v>
      </c>
      <c r="AY87">
        <f t="shared" si="54"/>
        <v>114.9</v>
      </c>
      <c r="AZ87">
        <f t="shared" si="55"/>
        <v>110.8</v>
      </c>
      <c r="BA87">
        <f t="shared" si="56"/>
        <v>116</v>
      </c>
      <c r="BB87">
        <f t="shared" si="57"/>
        <v>122</v>
      </c>
      <c r="BC87">
        <f t="shared" si="58"/>
        <v>112.4</v>
      </c>
      <c r="BD87">
        <f t="shared" si="59"/>
        <v>115.2</v>
      </c>
      <c r="BE87">
        <f t="shared" si="60"/>
        <v>120.7</v>
      </c>
      <c r="BF87">
        <f t="shared" si="61"/>
        <v>1598.9</v>
      </c>
      <c r="BG87">
        <f t="shared" si="62"/>
        <v>361.4</v>
      </c>
      <c r="BH87">
        <f t="shared" si="63"/>
        <v>227.3</v>
      </c>
      <c r="BI87">
        <f t="shared" si="64"/>
        <v>360.29999999999995</v>
      </c>
      <c r="BJ87">
        <f t="shared" si="65"/>
        <v>362.5</v>
      </c>
      <c r="BK87">
        <f t="shared" si="66"/>
        <v>225.7</v>
      </c>
    </row>
    <row r="88" spans="1:63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34"/>
        <v>123.6</v>
      </c>
      <c r="AF88">
        <f t="shared" si="35"/>
        <v>128</v>
      </c>
      <c r="AG88">
        <f t="shared" si="36"/>
        <v>115</v>
      </c>
      <c r="AH88">
        <f t="shared" si="37"/>
        <v>127.3</v>
      </c>
      <c r="AI88">
        <f t="shared" si="38"/>
        <v>109.8</v>
      </c>
      <c r="AJ88">
        <f t="shared" si="39"/>
        <v>132.6</v>
      </c>
      <c r="AK88">
        <f t="shared" si="40"/>
        <v>130.9</v>
      </c>
      <c r="AL88">
        <f t="shared" si="41"/>
        <v>130.5</v>
      </c>
      <c r="AM88">
        <f t="shared" si="42"/>
        <v>95.3</v>
      </c>
      <c r="AN88">
        <f t="shared" si="43"/>
        <v>123.4</v>
      </c>
      <c r="AO88">
        <f t="shared" si="44"/>
        <v>119.2</v>
      </c>
      <c r="AP88">
        <f t="shared" si="45"/>
        <v>129.80000000000001</v>
      </c>
      <c r="AQ88">
        <f t="shared" si="46"/>
        <v>125</v>
      </c>
      <c r="AR88">
        <f t="shared" si="47"/>
        <v>127.9</v>
      </c>
      <c r="AS88">
        <f t="shared" si="48"/>
        <v>125.4</v>
      </c>
      <c r="AT88">
        <f t="shared" si="49"/>
        <v>121.3</v>
      </c>
      <c r="AU88">
        <f t="shared" si="50"/>
        <v>124.7</v>
      </c>
      <c r="AV88">
        <f t="shared" si="51"/>
        <v>119.6</v>
      </c>
      <c r="AW88">
        <f t="shared" si="52"/>
        <v>119.2</v>
      </c>
      <c r="AX88">
        <f t="shared" si="53"/>
        <v>120.2</v>
      </c>
      <c r="AY88">
        <f t="shared" si="54"/>
        <v>117.7</v>
      </c>
      <c r="AZ88">
        <f t="shared" si="55"/>
        <v>112</v>
      </c>
      <c r="BA88">
        <f t="shared" si="56"/>
        <v>116.3</v>
      </c>
      <c r="BB88">
        <f t="shared" si="57"/>
        <v>121.4</v>
      </c>
      <c r="BC88">
        <f t="shared" si="58"/>
        <v>112.3</v>
      </c>
      <c r="BD88">
        <f t="shared" si="59"/>
        <v>116.1</v>
      </c>
      <c r="BE88">
        <f t="shared" si="60"/>
        <v>121.6</v>
      </c>
      <c r="BF88">
        <f t="shared" si="61"/>
        <v>1590.4</v>
      </c>
      <c r="BG88">
        <f t="shared" si="62"/>
        <v>371.4</v>
      </c>
      <c r="BH88">
        <f t="shared" si="63"/>
        <v>230</v>
      </c>
      <c r="BI88">
        <f t="shared" si="64"/>
        <v>361.20000000000005</v>
      </c>
      <c r="BJ88">
        <f t="shared" si="65"/>
        <v>360.29999999999995</v>
      </c>
      <c r="BK88">
        <f t="shared" si="66"/>
        <v>231.2</v>
      </c>
    </row>
    <row r="89" spans="1:63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34"/>
        <v>124.1</v>
      </c>
      <c r="AF89">
        <f t="shared" si="35"/>
        <v>130.4</v>
      </c>
      <c r="AG89">
        <f t="shared" si="36"/>
        <v>122.1</v>
      </c>
      <c r="AH89">
        <f t="shared" si="37"/>
        <v>128.69999999999999</v>
      </c>
      <c r="AI89">
        <f t="shared" si="38"/>
        <v>114.1</v>
      </c>
      <c r="AJ89">
        <f t="shared" si="39"/>
        <v>133.19999999999999</v>
      </c>
      <c r="AK89">
        <f t="shared" si="40"/>
        <v>135.19999999999999</v>
      </c>
      <c r="AL89">
        <f t="shared" si="41"/>
        <v>131.9</v>
      </c>
      <c r="AM89">
        <f t="shared" si="42"/>
        <v>96.3</v>
      </c>
      <c r="AN89">
        <f t="shared" si="43"/>
        <v>123</v>
      </c>
      <c r="AO89">
        <f t="shared" si="44"/>
        <v>121.1</v>
      </c>
      <c r="AP89">
        <f t="shared" si="45"/>
        <v>131.19999999999999</v>
      </c>
      <c r="AQ89">
        <f t="shared" si="46"/>
        <v>126.6</v>
      </c>
      <c r="AR89">
        <f t="shared" si="47"/>
        <v>128.19999999999999</v>
      </c>
      <c r="AS89">
        <f t="shared" si="48"/>
        <v>128.4</v>
      </c>
      <c r="AT89">
        <f t="shared" si="49"/>
        <v>125.1</v>
      </c>
      <c r="AU89">
        <f t="shared" si="50"/>
        <v>128</v>
      </c>
      <c r="AV89">
        <f t="shared" si="51"/>
        <v>119</v>
      </c>
      <c r="AW89">
        <f t="shared" si="52"/>
        <v>122.6</v>
      </c>
      <c r="AX89">
        <f t="shared" si="53"/>
        <v>122.8</v>
      </c>
      <c r="AY89">
        <f t="shared" si="54"/>
        <v>120.4</v>
      </c>
      <c r="AZ89">
        <f t="shared" si="55"/>
        <v>114.2</v>
      </c>
      <c r="BA89">
        <f t="shared" si="56"/>
        <v>117.9</v>
      </c>
      <c r="BB89">
        <f t="shared" si="57"/>
        <v>122</v>
      </c>
      <c r="BC89">
        <f t="shared" si="58"/>
        <v>113</v>
      </c>
      <c r="BD89">
        <f t="shared" si="59"/>
        <v>117.9</v>
      </c>
      <c r="BE89">
        <f t="shared" si="60"/>
        <v>124.1</v>
      </c>
      <c r="BF89">
        <f t="shared" si="61"/>
        <v>1617.8999999999999</v>
      </c>
      <c r="BG89">
        <f t="shared" si="62"/>
        <v>381.5</v>
      </c>
      <c r="BH89">
        <f t="shared" si="63"/>
        <v>233.4</v>
      </c>
      <c r="BI89">
        <f t="shared" si="64"/>
        <v>363.8</v>
      </c>
      <c r="BJ89">
        <f t="shared" si="65"/>
        <v>364</v>
      </c>
      <c r="BK89">
        <f t="shared" si="66"/>
        <v>236.8</v>
      </c>
    </row>
    <row r="90" spans="1:63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34"/>
        <v>123.6</v>
      </c>
      <c r="AF90">
        <f t="shared" si="35"/>
        <v>134.4</v>
      </c>
      <c r="AG90">
        <f t="shared" si="36"/>
        <v>120.9</v>
      </c>
      <c r="AH90">
        <f t="shared" si="37"/>
        <v>127.3</v>
      </c>
      <c r="AI90">
        <f t="shared" si="38"/>
        <v>106</v>
      </c>
      <c r="AJ90">
        <f t="shared" si="39"/>
        <v>132.30000000000001</v>
      </c>
      <c r="AK90">
        <f t="shared" si="40"/>
        <v>146.69999999999999</v>
      </c>
      <c r="AL90">
        <f t="shared" si="41"/>
        <v>148.1</v>
      </c>
      <c r="AM90">
        <f t="shared" si="42"/>
        <v>89.8</v>
      </c>
      <c r="AN90">
        <f t="shared" si="43"/>
        <v>130.5</v>
      </c>
      <c r="AO90">
        <f t="shared" si="44"/>
        <v>118</v>
      </c>
      <c r="AP90">
        <f t="shared" si="45"/>
        <v>130.5</v>
      </c>
      <c r="AQ90">
        <f t="shared" si="46"/>
        <v>128.5</v>
      </c>
      <c r="AR90">
        <f t="shared" si="47"/>
        <v>132.1</v>
      </c>
      <c r="AS90">
        <f t="shared" si="48"/>
        <v>123.2</v>
      </c>
      <c r="AT90">
        <f t="shared" si="49"/>
        <v>117.6</v>
      </c>
      <c r="AU90">
        <f t="shared" si="50"/>
        <v>122.3</v>
      </c>
      <c r="AV90">
        <f t="shared" si="51"/>
        <v>119</v>
      </c>
      <c r="AW90">
        <f t="shared" si="52"/>
        <v>115.1</v>
      </c>
      <c r="AX90">
        <f t="shared" si="53"/>
        <v>119.2</v>
      </c>
      <c r="AY90">
        <f t="shared" si="54"/>
        <v>115.4</v>
      </c>
      <c r="AZ90">
        <f t="shared" si="55"/>
        <v>111.7</v>
      </c>
      <c r="BA90">
        <f t="shared" si="56"/>
        <v>116.2</v>
      </c>
      <c r="BB90">
        <f t="shared" si="57"/>
        <v>123.8</v>
      </c>
      <c r="BC90">
        <f t="shared" si="58"/>
        <v>112.5</v>
      </c>
      <c r="BD90">
        <f t="shared" si="59"/>
        <v>116</v>
      </c>
      <c r="BE90">
        <f t="shared" si="60"/>
        <v>121.7</v>
      </c>
      <c r="BF90">
        <f t="shared" si="61"/>
        <v>1636.6</v>
      </c>
      <c r="BG90">
        <f t="shared" si="62"/>
        <v>363.1</v>
      </c>
      <c r="BH90">
        <f t="shared" si="63"/>
        <v>227.9</v>
      </c>
      <c r="BI90">
        <f t="shared" si="64"/>
        <v>362</v>
      </c>
      <c r="BJ90">
        <f t="shared" si="65"/>
        <v>364.3</v>
      </c>
      <c r="BK90">
        <f t="shared" si="66"/>
        <v>226.8</v>
      </c>
    </row>
    <row r="91" spans="1:63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34"/>
        <v>123.9</v>
      </c>
      <c r="AF91">
        <f t="shared" si="35"/>
        <v>131.80000000000001</v>
      </c>
      <c r="AG91">
        <f t="shared" si="36"/>
        <v>121.6</v>
      </c>
      <c r="AH91">
        <f t="shared" si="37"/>
        <v>128.19999999999999</v>
      </c>
      <c r="AI91">
        <f t="shared" si="38"/>
        <v>111.1</v>
      </c>
      <c r="AJ91">
        <f t="shared" si="39"/>
        <v>132.80000000000001</v>
      </c>
      <c r="AK91">
        <f t="shared" si="40"/>
        <v>139.1</v>
      </c>
      <c r="AL91">
        <f t="shared" si="41"/>
        <v>137.4</v>
      </c>
      <c r="AM91">
        <f t="shared" si="42"/>
        <v>94.1</v>
      </c>
      <c r="AN91">
        <f t="shared" si="43"/>
        <v>125.5</v>
      </c>
      <c r="AO91">
        <f t="shared" si="44"/>
        <v>119.8</v>
      </c>
      <c r="AP91">
        <f t="shared" si="45"/>
        <v>130.9</v>
      </c>
      <c r="AQ91">
        <f t="shared" si="46"/>
        <v>127.3</v>
      </c>
      <c r="AR91">
        <f t="shared" si="47"/>
        <v>129.19999999999999</v>
      </c>
      <c r="AS91">
        <f t="shared" si="48"/>
        <v>126.4</v>
      </c>
      <c r="AT91">
        <f t="shared" si="49"/>
        <v>122</v>
      </c>
      <c r="AU91">
        <f t="shared" si="50"/>
        <v>125.7</v>
      </c>
      <c r="AV91">
        <f t="shared" si="51"/>
        <v>119</v>
      </c>
      <c r="AW91">
        <f t="shared" si="52"/>
        <v>119.8</v>
      </c>
      <c r="AX91">
        <f t="shared" si="53"/>
        <v>121.1</v>
      </c>
      <c r="AY91">
        <f t="shared" si="54"/>
        <v>118.5</v>
      </c>
      <c r="AZ91">
        <f t="shared" si="55"/>
        <v>112.9</v>
      </c>
      <c r="BA91">
        <f t="shared" si="56"/>
        <v>116.9</v>
      </c>
      <c r="BB91">
        <f t="shared" si="57"/>
        <v>123.1</v>
      </c>
      <c r="BC91">
        <f t="shared" si="58"/>
        <v>112.8</v>
      </c>
      <c r="BD91">
        <f t="shared" si="59"/>
        <v>117</v>
      </c>
      <c r="BE91">
        <f t="shared" si="60"/>
        <v>123</v>
      </c>
      <c r="BF91">
        <f t="shared" si="61"/>
        <v>1623.5</v>
      </c>
      <c r="BG91">
        <f t="shared" si="62"/>
        <v>374.1</v>
      </c>
      <c r="BH91">
        <f t="shared" si="63"/>
        <v>231.3</v>
      </c>
      <c r="BI91">
        <f t="shared" si="64"/>
        <v>363.2</v>
      </c>
      <c r="BJ91">
        <f t="shared" si="65"/>
        <v>363.1</v>
      </c>
      <c r="BK91">
        <f t="shared" si="66"/>
        <v>232.7</v>
      </c>
    </row>
    <row r="92" spans="1:63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34"/>
        <v>124</v>
      </c>
      <c r="AF92">
        <f t="shared" si="35"/>
        <v>131.5</v>
      </c>
      <c r="AG92">
        <f t="shared" si="36"/>
        <v>122</v>
      </c>
      <c r="AH92">
        <f t="shared" si="37"/>
        <v>128.69999999999999</v>
      </c>
      <c r="AI92">
        <f t="shared" si="38"/>
        <v>113.5</v>
      </c>
      <c r="AJ92">
        <f t="shared" si="39"/>
        <v>133.30000000000001</v>
      </c>
      <c r="AK92">
        <f t="shared" si="40"/>
        <v>140.80000000000001</v>
      </c>
      <c r="AL92">
        <f t="shared" si="41"/>
        <v>133.80000000000001</v>
      </c>
      <c r="AM92">
        <f t="shared" si="42"/>
        <v>94.1</v>
      </c>
      <c r="AN92">
        <f t="shared" si="43"/>
        <v>123.4</v>
      </c>
      <c r="AO92">
        <f t="shared" si="44"/>
        <v>121</v>
      </c>
      <c r="AP92">
        <f t="shared" si="45"/>
        <v>131.69999999999999</v>
      </c>
      <c r="AQ92">
        <f t="shared" si="46"/>
        <v>127.5</v>
      </c>
      <c r="AR92">
        <f t="shared" si="47"/>
        <v>129.4</v>
      </c>
      <c r="AS92">
        <f t="shared" si="48"/>
        <v>128.80000000000001</v>
      </c>
      <c r="AT92">
        <f t="shared" si="49"/>
        <v>125.5</v>
      </c>
      <c r="AU92">
        <f t="shared" si="50"/>
        <v>128.30000000000001</v>
      </c>
      <c r="AV92">
        <f t="shared" si="51"/>
        <v>119.9</v>
      </c>
      <c r="AW92">
        <f t="shared" si="52"/>
        <v>123</v>
      </c>
      <c r="AX92">
        <f t="shared" si="53"/>
        <v>123</v>
      </c>
      <c r="AY92">
        <f t="shared" si="54"/>
        <v>120.8</v>
      </c>
      <c r="AZ92">
        <f t="shared" si="55"/>
        <v>114.1</v>
      </c>
      <c r="BA92">
        <f t="shared" si="56"/>
        <v>118</v>
      </c>
      <c r="BB92">
        <f t="shared" si="57"/>
        <v>122.9</v>
      </c>
      <c r="BC92">
        <f t="shared" si="58"/>
        <v>112.7</v>
      </c>
      <c r="BD92">
        <f t="shared" si="59"/>
        <v>118.1</v>
      </c>
      <c r="BE92">
        <f t="shared" si="60"/>
        <v>124.7</v>
      </c>
      <c r="BF92">
        <f t="shared" si="61"/>
        <v>1625.3</v>
      </c>
      <c r="BG92">
        <f t="shared" si="62"/>
        <v>382.6</v>
      </c>
      <c r="BH92">
        <f t="shared" si="63"/>
        <v>233.5</v>
      </c>
      <c r="BI92">
        <f t="shared" si="64"/>
        <v>365.8</v>
      </c>
      <c r="BJ92">
        <f t="shared" si="65"/>
        <v>365.5</v>
      </c>
      <c r="BK92">
        <f t="shared" si="66"/>
        <v>237.1</v>
      </c>
    </row>
    <row r="93" spans="1:63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34"/>
        <v>123.2</v>
      </c>
      <c r="AF93">
        <f t="shared" si="35"/>
        <v>134.30000000000001</v>
      </c>
      <c r="AG93">
        <f t="shared" si="36"/>
        <v>119.5</v>
      </c>
      <c r="AH93">
        <f t="shared" si="37"/>
        <v>127.7</v>
      </c>
      <c r="AI93">
        <f t="shared" si="38"/>
        <v>106.3</v>
      </c>
      <c r="AJ93">
        <f t="shared" si="39"/>
        <v>132.80000000000001</v>
      </c>
      <c r="AK93">
        <f t="shared" si="40"/>
        <v>153.5</v>
      </c>
      <c r="AL93">
        <f t="shared" si="41"/>
        <v>149.5</v>
      </c>
      <c r="AM93">
        <f t="shared" si="42"/>
        <v>85.7</v>
      </c>
      <c r="AN93">
        <f t="shared" si="43"/>
        <v>131.5</v>
      </c>
      <c r="AO93">
        <f t="shared" si="44"/>
        <v>118.3</v>
      </c>
      <c r="AP93">
        <f t="shared" si="45"/>
        <v>131.1</v>
      </c>
      <c r="AQ93">
        <f t="shared" si="46"/>
        <v>129.5</v>
      </c>
      <c r="AR93">
        <f t="shared" si="47"/>
        <v>133.1</v>
      </c>
      <c r="AS93">
        <f t="shared" si="48"/>
        <v>123.5</v>
      </c>
      <c r="AT93">
        <f t="shared" si="49"/>
        <v>117.9</v>
      </c>
      <c r="AU93">
        <f t="shared" si="50"/>
        <v>122.7</v>
      </c>
      <c r="AV93">
        <f t="shared" si="51"/>
        <v>119.9</v>
      </c>
      <c r="AW93">
        <f t="shared" si="52"/>
        <v>115.3</v>
      </c>
      <c r="AX93">
        <f t="shared" si="53"/>
        <v>119.5</v>
      </c>
      <c r="AY93">
        <f t="shared" si="54"/>
        <v>116</v>
      </c>
      <c r="AZ93">
        <f t="shared" si="55"/>
        <v>111.5</v>
      </c>
      <c r="BA93">
        <f t="shared" si="56"/>
        <v>116.6</v>
      </c>
      <c r="BB93">
        <f t="shared" si="57"/>
        <v>125.4</v>
      </c>
      <c r="BC93">
        <f t="shared" si="58"/>
        <v>111.7</v>
      </c>
      <c r="BD93">
        <f t="shared" si="59"/>
        <v>116.3</v>
      </c>
      <c r="BE93">
        <f t="shared" si="60"/>
        <v>122.4</v>
      </c>
      <c r="BF93">
        <f t="shared" si="61"/>
        <v>1642.8999999999999</v>
      </c>
      <c r="BG93">
        <f t="shared" si="62"/>
        <v>364.1</v>
      </c>
      <c r="BH93">
        <f t="shared" si="63"/>
        <v>227.7</v>
      </c>
      <c r="BI93">
        <f t="shared" si="64"/>
        <v>364.8</v>
      </c>
      <c r="BJ93">
        <f t="shared" si="65"/>
        <v>366</v>
      </c>
      <c r="BK93">
        <f t="shared" si="66"/>
        <v>226.8</v>
      </c>
    </row>
    <row r="94" spans="1:63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34"/>
        <v>123.7</v>
      </c>
      <c r="AF94">
        <f t="shared" si="35"/>
        <v>132.5</v>
      </c>
      <c r="AG94">
        <f t="shared" si="36"/>
        <v>121</v>
      </c>
      <c r="AH94">
        <f t="shared" si="37"/>
        <v>128.30000000000001</v>
      </c>
      <c r="AI94">
        <f t="shared" si="38"/>
        <v>110.9</v>
      </c>
      <c r="AJ94">
        <f t="shared" si="39"/>
        <v>133.1</v>
      </c>
      <c r="AK94">
        <f t="shared" si="40"/>
        <v>145.1</v>
      </c>
      <c r="AL94">
        <f t="shared" si="41"/>
        <v>139.1</v>
      </c>
      <c r="AM94">
        <f t="shared" si="42"/>
        <v>91.3</v>
      </c>
      <c r="AN94">
        <f t="shared" si="43"/>
        <v>126.1</v>
      </c>
      <c r="AO94">
        <f t="shared" si="44"/>
        <v>119.9</v>
      </c>
      <c r="AP94">
        <f t="shared" si="45"/>
        <v>131.4</v>
      </c>
      <c r="AQ94">
        <f t="shared" si="46"/>
        <v>128.19999999999999</v>
      </c>
      <c r="AR94">
        <f t="shared" si="47"/>
        <v>130.4</v>
      </c>
      <c r="AS94">
        <f t="shared" si="48"/>
        <v>126.7</v>
      </c>
      <c r="AT94">
        <f t="shared" si="49"/>
        <v>122.3</v>
      </c>
      <c r="AU94">
        <f t="shared" si="50"/>
        <v>126.1</v>
      </c>
      <c r="AV94">
        <f t="shared" si="51"/>
        <v>119.9</v>
      </c>
      <c r="AW94">
        <f t="shared" si="52"/>
        <v>120.1</v>
      </c>
      <c r="AX94">
        <f t="shared" si="53"/>
        <v>121.3</v>
      </c>
      <c r="AY94">
        <f t="shared" si="54"/>
        <v>119</v>
      </c>
      <c r="AZ94">
        <f t="shared" si="55"/>
        <v>112.7</v>
      </c>
      <c r="BA94">
        <f t="shared" si="56"/>
        <v>117.2</v>
      </c>
      <c r="BB94">
        <f t="shared" si="57"/>
        <v>124.4</v>
      </c>
      <c r="BC94">
        <f t="shared" si="58"/>
        <v>112.3</v>
      </c>
      <c r="BD94">
        <f t="shared" si="59"/>
        <v>117.2</v>
      </c>
      <c r="BE94">
        <f t="shared" si="60"/>
        <v>123.6</v>
      </c>
      <c r="BF94">
        <f t="shared" si="61"/>
        <v>1630.6000000000001</v>
      </c>
      <c r="BG94">
        <f t="shared" si="62"/>
        <v>375.1</v>
      </c>
      <c r="BH94">
        <f t="shared" si="63"/>
        <v>231.3</v>
      </c>
      <c r="BI94">
        <f t="shared" si="64"/>
        <v>365.6</v>
      </c>
      <c r="BJ94">
        <f t="shared" si="65"/>
        <v>364.8</v>
      </c>
      <c r="BK94">
        <f t="shared" si="66"/>
        <v>232.8</v>
      </c>
    </row>
    <row r="95" spans="1:63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34"/>
        <v>124.7</v>
      </c>
      <c r="AF95">
        <f t="shared" si="35"/>
        <v>131.30000000000001</v>
      </c>
      <c r="AG95">
        <f t="shared" si="36"/>
        <v>121.3</v>
      </c>
      <c r="AH95">
        <f t="shared" si="37"/>
        <v>128.80000000000001</v>
      </c>
      <c r="AI95">
        <f t="shared" si="38"/>
        <v>114</v>
      </c>
      <c r="AJ95">
        <f t="shared" si="39"/>
        <v>134.19999999999999</v>
      </c>
      <c r="AK95">
        <f t="shared" si="40"/>
        <v>153.6</v>
      </c>
      <c r="AL95">
        <f t="shared" si="41"/>
        <v>137.9</v>
      </c>
      <c r="AM95">
        <f t="shared" si="42"/>
        <v>93.1</v>
      </c>
      <c r="AN95">
        <f t="shared" si="43"/>
        <v>123.9</v>
      </c>
      <c r="AO95">
        <f t="shared" si="44"/>
        <v>121.5</v>
      </c>
      <c r="AP95">
        <f t="shared" si="45"/>
        <v>132.5</v>
      </c>
      <c r="AQ95">
        <f t="shared" si="46"/>
        <v>129.80000000000001</v>
      </c>
      <c r="AR95">
        <f t="shared" si="47"/>
        <v>130.1</v>
      </c>
      <c r="AS95">
        <f t="shared" si="48"/>
        <v>129.5</v>
      </c>
      <c r="AT95">
        <f t="shared" si="49"/>
        <v>126.3</v>
      </c>
      <c r="AU95">
        <f t="shared" si="50"/>
        <v>129</v>
      </c>
      <c r="AV95">
        <f t="shared" si="51"/>
        <v>120.9</v>
      </c>
      <c r="AW95">
        <f t="shared" si="52"/>
        <v>123.8</v>
      </c>
      <c r="AX95">
        <f t="shared" si="53"/>
        <v>123.7</v>
      </c>
      <c r="AY95">
        <f t="shared" si="54"/>
        <v>121.1</v>
      </c>
      <c r="AZ95">
        <f t="shared" si="55"/>
        <v>113.6</v>
      </c>
      <c r="BA95">
        <f t="shared" si="56"/>
        <v>118.5</v>
      </c>
      <c r="BB95">
        <f t="shared" si="57"/>
        <v>123.6</v>
      </c>
      <c r="BC95">
        <f t="shared" si="58"/>
        <v>112.5</v>
      </c>
      <c r="BD95">
        <f t="shared" si="59"/>
        <v>118.2</v>
      </c>
      <c r="BE95">
        <f t="shared" si="60"/>
        <v>126.1</v>
      </c>
      <c r="BF95">
        <f t="shared" si="61"/>
        <v>1646.6</v>
      </c>
      <c r="BG95">
        <f t="shared" si="62"/>
        <v>384.8</v>
      </c>
      <c r="BH95">
        <f t="shared" si="63"/>
        <v>233.6</v>
      </c>
      <c r="BI95">
        <f t="shared" si="64"/>
        <v>368.20000000000005</v>
      </c>
      <c r="BJ95">
        <f t="shared" si="65"/>
        <v>366.8</v>
      </c>
      <c r="BK95">
        <f t="shared" si="66"/>
        <v>237.39999999999998</v>
      </c>
    </row>
    <row r="96" spans="1:63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34"/>
        <v>123.1</v>
      </c>
      <c r="AF96">
        <f t="shared" si="35"/>
        <v>131.69999999999999</v>
      </c>
      <c r="AG96">
        <f t="shared" si="36"/>
        <v>118.1</v>
      </c>
      <c r="AH96">
        <f t="shared" si="37"/>
        <v>128</v>
      </c>
      <c r="AI96">
        <f t="shared" si="38"/>
        <v>106.8</v>
      </c>
      <c r="AJ96">
        <f t="shared" si="39"/>
        <v>130.1</v>
      </c>
      <c r="AK96">
        <f t="shared" si="40"/>
        <v>165.5</v>
      </c>
      <c r="AL96">
        <f t="shared" si="41"/>
        <v>156</v>
      </c>
      <c r="AM96">
        <f t="shared" si="42"/>
        <v>85.3</v>
      </c>
      <c r="AN96">
        <f t="shared" si="43"/>
        <v>132.69999999999999</v>
      </c>
      <c r="AO96">
        <f t="shared" si="44"/>
        <v>118.8</v>
      </c>
      <c r="AP96">
        <f t="shared" si="45"/>
        <v>131.69999999999999</v>
      </c>
      <c r="AQ96">
        <f t="shared" si="46"/>
        <v>131.1</v>
      </c>
      <c r="AR96">
        <f t="shared" si="47"/>
        <v>134.19999999999999</v>
      </c>
      <c r="AS96">
        <f t="shared" si="48"/>
        <v>123.7</v>
      </c>
      <c r="AT96">
        <f t="shared" si="49"/>
        <v>118.2</v>
      </c>
      <c r="AU96">
        <f t="shared" si="50"/>
        <v>122.9</v>
      </c>
      <c r="AV96">
        <f t="shared" si="51"/>
        <v>120.9</v>
      </c>
      <c r="AW96">
        <f t="shared" si="52"/>
        <v>115.3</v>
      </c>
      <c r="AX96">
        <f t="shared" si="53"/>
        <v>120</v>
      </c>
      <c r="AY96">
        <f t="shared" si="54"/>
        <v>116.6</v>
      </c>
      <c r="AZ96">
        <f t="shared" si="55"/>
        <v>109.9</v>
      </c>
      <c r="BA96">
        <f t="shared" si="56"/>
        <v>117.2</v>
      </c>
      <c r="BB96">
        <f t="shared" si="57"/>
        <v>126.2</v>
      </c>
      <c r="BC96">
        <f t="shared" si="58"/>
        <v>112</v>
      </c>
      <c r="BD96">
        <f t="shared" si="59"/>
        <v>116.2</v>
      </c>
      <c r="BE96">
        <f t="shared" si="60"/>
        <v>123.2</v>
      </c>
      <c r="BF96">
        <f t="shared" si="61"/>
        <v>1658.8999999999999</v>
      </c>
      <c r="BG96">
        <f t="shared" si="62"/>
        <v>364.8</v>
      </c>
      <c r="BH96">
        <f t="shared" si="63"/>
        <v>228.6</v>
      </c>
      <c r="BI96">
        <f t="shared" si="64"/>
        <v>367.1</v>
      </c>
      <c r="BJ96">
        <f t="shared" si="65"/>
        <v>367.59999999999997</v>
      </c>
      <c r="BK96">
        <f t="shared" si="66"/>
        <v>225.2</v>
      </c>
    </row>
    <row r="97" spans="1:63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34"/>
        <v>124.2</v>
      </c>
      <c r="AF97">
        <f t="shared" si="35"/>
        <v>131.4</v>
      </c>
      <c r="AG97">
        <f t="shared" si="36"/>
        <v>120.1</v>
      </c>
      <c r="AH97">
        <f t="shared" si="37"/>
        <v>128.5</v>
      </c>
      <c r="AI97">
        <f t="shared" si="38"/>
        <v>111.4</v>
      </c>
      <c r="AJ97">
        <f t="shared" si="39"/>
        <v>132.30000000000001</v>
      </c>
      <c r="AK97">
        <f t="shared" si="40"/>
        <v>157.6</v>
      </c>
      <c r="AL97">
        <f t="shared" si="41"/>
        <v>144</v>
      </c>
      <c r="AM97">
        <f t="shared" si="42"/>
        <v>90.5</v>
      </c>
      <c r="AN97">
        <f t="shared" si="43"/>
        <v>126.8</v>
      </c>
      <c r="AO97">
        <f t="shared" si="44"/>
        <v>120.4</v>
      </c>
      <c r="AP97">
        <f t="shared" si="45"/>
        <v>132.1</v>
      </c>
      <c r="AQ97">
        <f t="shared" si="46"/>
        <v>130.30000000000001</v>
      </c>
      <c r="AR97">
        <f t="shared" si="47"/>
        <v>131.19999999999999</v>
      </c>
      <c r="AS97">
        <f t="shared" si="48"/>
        <v>127.2</v>
      </c>
      <c r="AT97">
        <f t="shared" si="49"/>
        <v>122.9</v>
      </c>
      <c r="AU97">
        <f t="shared" si="50"/>
        <v>126.6</v>
      </c>
      <c r="AV97">
        <f t="shared" si="51"/>
        <v>120.9</v>
      </c>
      <c r="AW97">
        <f t="shared" si="52"/>
        <v>120.6</v>
      </c>
      <c r="AX97">
        <f t="shared" si="53"/>
        <v>122</v>
      </c>
      <c r="AY97">
        <f t="shared" si="54"/>
        <v>119.4</v>
      </c>
      <c r="AZ97">
        <f t="shared" si="55"/>
        <v>111.7</v>
      </c>
      <c r="BA97">
        <f t="shared" si="56"/>
        <v>117.8</v>
      </c>
      <c r="BB97">
        <f t="shared" si="57"/>
        <v>125.1</v>
      </c>
      <c r="BC97">
        <f t="shared" si="58"/>
        <v>112.3</v>
      </c>
      <c r="BD97">
        <f t="shared" si="59"/>
        <v>117.2</v>
      </c>
      <c r="BE97">
        <f t="shared" si="60"/>
        <v>124.8</v>
      </c>
      <c r="BF97">
        <f t="shared" si="61"/>
        <v>1649.6</v>
      </c>
      <c r="BG97">
        <f t="shared" si="62"/>
        <v>376.70000000000005</v>
      </c>
      <c r="BH97">
        <f t="shared" si="63"/>
        <v>231.7</v>
      </c>
      <c r="BI97">
        <f t="shared" si="64"/>
        <v>368</v>
      </c>
      <c r="BJ97">
        <f t="shared" si="65"/>
        <v>366.2</v>
      </c>
      <c r="BK97">
        <f t="shared" si="66"/>
        <v>232.3</v>
      </c>
    </row>
    <row r="98" spans="1:63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34"/>
        <v>125.1</v>
      </c>
      <c r="AF98">
        <f t="shared" si="35"/>
        <v>131.1</v>
      </c>
      <c r="AG98">
        <f t="shared" si="36"/>
        <v>120.7</v>
      </c>
      <c r="AH98">
        <f t="shared" si="37"/>
        <v>129.19999999999999</v>
      </c>
      <c r="AI98">
        <f t="shared" si="38"/>
        <v>114.7</v>
      </c>
      <c r="AJ98">
        <f t="shared" si="39"/>
        <v>132.30000000000001</v>
      </c>
      <c r="AK98">
        <f t="shared" si="40"/>
        <v>158.9</v>
      </c>
      <c r="AL98">
        <f t="shared" si="41"/>
        <v>142.1</v>
      </c>
      <c r="AM98">
        <f t="shared" si="42"/>
        <v>92.5</v>
      </c>
      <c r="AN98">
        <f t="shared" si="43"/>
        <v>125.4</v>
      </c>
      <c r="AO98">
        <f t="shared" si="44"/>
        <v>121.9</v>
      </c>
      <c r="AP98">
        <f t="shared" si="45"/>
        <v>132.69999999999999</v>
      </c>
      <c r="AQ98">
        <f t="shared" si="46"/>
        <v>131</v>
      </c>
      <c r="AR98">
        <f t="shared" si="47"/>
        <v>131</v>
      </c>
      <c r="AS98">
        <f t="shared" si="48"/>
        <v>130.4</v>
      </c>
      <c r="AT98">
        <f t="shared" si="49"/>
        <v>126.8</v>
      </c>
      <c r="AU98">
        <f t="shared" si="50"/>
        <v>129.9</v>
      </c>
      <c r="AV98">
        <f t="shared" si="51"/>
        <v>121.6</v>
      </c>
      <c r="AW98">
        <f t="shared" si="52"/>
        <v>123.7</v>
      </c>
      <c r="AX98">
        <f t="shared" si="53"/>
        <v>124.5</v>
      </c>
      <c r="AY98">
        <f t="shared" si="54"/>
        <v>121.4</v>
      </c>
      <c r="AZ98">
        <f t="shared" si="55"/>
        <v>113.8</v>
      </c>
      <c r="BA98">
        <f t="shared" si="56"/>
        <v>119.6</v>
      </c>
      <c r="BB98">
        <f t="shared" si="57"/>
        <v>124.5</v>
      </c>
      <c r="BC98">
        <f t="shared" si="58"/>
        <v>113.7</v>
      </c>
      <c r="BD98">
        <f t="shared" si="59"/>
        <v>118.8</v>
      </c>
      <c r="BE98">
        <f t="shared" si="60"/>
        <v>127</v>
      </c>
      <c r="BF98">
        <f t="shared" si="61"/>
        <v>1657.6000000000001</v>
      </c>
      <c r="BG98">
        <f t="shared" si="62"/>
        <v>387.1</v>
      </c>
      <c r="BH98">
        <f t="shared" si="63"/>
        <v>235.10000000000002</v>
      </c>
      <c r="BI98">
        <f t="shared" si="64"/>
        <v>370.6</v>
      </c>
      <c r="BJ98">
        <f t="shared" si="65"/>
        <v>369.4</v>
      </c>
      <c r="BK98">
        <f t="shared" si="66"/>
        <v>237.5</v>
      </c>
    </row>
    <row r="99" spans="1:63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34"/>
        <v>123.4</v>
      </c>
      <c r="AF99">
        <f t="shared" si="35"/>
        <v>129</v>
      </c>
      <c r="AG99">
        <f t="shared" si="36"/>
        <v>115.6</v>
      </c>
      <c r="AH99">
        <f t="shared" si="37"/>
        <v>128.30000000000001</v>
      </c>
      <c r="AI99">
        <f t="shared" si="38"/>
        <v>107</v>
      </c>
      <c r="AJ99">
        <f t="shared" si="39"/>
        <v>124</v>
      </c>
      <c r="AK99">
        <f t="shared" si="40"/>
        <v>168.5</v>
      </c>
      <c r="AL99">
        <f t="shared" si="41"/>
        <v>165.4</v>
      </c>
      <c r="AM99">
        <f t="shared" si="42"/>
        <v>86.3</v>
      </c>
      <c r="AN99">
        <f t="shared" si="43"/>
        <v>134.4</v>
      </c>
      <c r="AO99">
        <f t="shared" si="44"/>
        <v>119.1</v>
      </c>
      <c r="AP99">
        <f t="shared" si="45"/>
        <v>132.30000000000001</v>
      </c>
      <c r="AQ99">
        <f t="shared" si="46"/>
        <v>131.5</v>
      </c>
      <c r="AR99">
        <f t="shared" si="47"/>
        <v>134.69999999999999</v>
      </c>
      <c r="AS99">
        <f t="shared" si="48"/>
        <v>124</v>
      </c>
      <c r="AT99">
        <f t="shared" si="49"/>
        <v>118.6</v>
      </c>
      <c r="AU99">
        <f t="shared" si="50"/>
        <v>123.2</v>
      </c>
      <c r="AV99">
        <f t="shared" si="51"/>
        <v>121.6</v>
      </c>
      <c r="AW99">
        <f t="shared" si="52"/>
        <v>115.1</v>
      </c>
      <c r="AX99">
        <f t="shared" si="53"/>
        <v>120.4</v>
      </c>
      <c r="AY99">
        <f t="shared" si="54"/>
        <v>117.1</v>
      </c>
      <c r="AZ99">
        <f t="shared" si="55"/>
        <v>109.1</v>
      </c>
      <c r="BA99">
        <f t="shared" si="56"/>
        <v>117.3</v>
      </c>
      <c r="BB99">
        <f t="shared" si="57"/>
        <v>126.5</v>
      </c>
      <c r="BC99">
        <f t="shared" si="58"/>
        <v>112.9</v>
      </c>
      <c r="BD99">
        <f t="shared" si="59"/>
        <v>116.2</v>
      </c>
      <c r="BE99">
        <f t="shared" si="60"/>
        <v>123.5</v>
      </c>
      <c r="BF99">
        <f t="shared" si="61"/>
        <v>1664.8</v>
      </c>
      <c r="BG99">
        <f t="shared" si="62"/>
        <v>365.8</v>
      </c>
      <c r="BH99">
        <f t="shared" si="63"/>
        <v>230</v>
      </c>
      <c r="BI99">
        <f t="shared" si="64"/>
        <v>368.5</v>
      </c>
      <c r="BJ99">
        <f t="shared" si="65"/>
        <v>368.2</v>
      </c>
      <c r="BK99">
        <f t="shared" si="66"/>
        <v>224.2</v>
      </c>
    </row>
    <row r="100" spans="1:63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34"/>
        <v>124.6</v>
      </c>
      <c r="AF100">
        <f t="shared" si="35"/>
        <v>130.4</v>
      </c>
      <c r="AG100">
        <f t="shared" si="36"/>
        <v>118.7</v>
      </c>
      <c r="AH100">
        <f t="shared" si="37"/>
        <v>128.9</v>
      </c>
      <c r="AI100">
        <f t="shared" si="38"/>
        <v>111.9</v>
      </c>
      <c r="AJ100">
        <f t="shared" si="39"/>
        <v>128.4</v>
      </c>
      <c r="AK100">
        <f t="shared" si="40"/>
        <v>162.19999999999999</v>
      </c>
      <c r="AL100">
        <f t="shared" si="41"/>
        <v>150</v>
      </c>
      <c r="AM100">
        <f t="shared" si="42"/>
        <v>90.4</v>
      </c>
      <c r="AN100">
        <f t="shared" si="43"/>
        <v>128.4</v>
      </c>
      <c r="AO100">
        <f t="shared" si="44"/>
        <v>120.7</v>
      </c>
      <c r="AP100">
        <f t="shared" si="45"/>
        <v>132.5</v>
      </c>
      <c r="AQ100">
        <f t="shared" si="46"/>
        <v>131.19999999999999</v>
      </c>
      <c r="AR100">
        <f t="shared" si="47"/>
        <v>132</v>
      </c>
      <c r="AS100">
        <f t="shared" si="48"/>
        <v>127.9</v>
      </c>
      <c r="AT100">
        <f t="shared" si="49"/>
        <v>123.4</v>
      </c>
      <c r="AU100">
        <f t="shared" si="50"/>
        <v>127.2</v>
      </c>
      <c r="AV100">
        <f t="shared" si="51"/>
        <v>121.6</v>
      </c>
      <c r="AW100">
        <f t="shared" si="52"/>
        <v>120.4</v>
      </c>
      <c r="AX100">
        <f t="shared" si="53"/>
        <v>122.6</v>
      </c>
      <c r="AY100">
        <f t="shared" si="54"/>
        <v>119.8</v>
      </c>
      <c r="AZ100">
        <f t="shared" si="55"/>
        <v>111.3</v>
      </c>
      <c r="BA100">
        <f t="shared" si="56"/>
        <v>118.3</v>
      </c>
      <c r="BB100">
        <f t="shared" si="57"/>
        <v>125.7</v>
      </c>
      <c r="BC100">
        <f t="shared" si="58"/>
        <v>113.4</v>
      </c>
      <c r="BD100">
        <f t="shared" si="59"/>
        <v>117.5</v>
      </c>
      <c r="BE100">
        <f t="shared" si="60"/>
        <v>125.4</v>
      </c>
      <c r="BF100">
        <f t="shared" si="61"/>
        <v>1658.3000000000002</v>
      </c>
      <c r="BG100">
        <f t="shared" si="62"/>
        <v>378.5</v>
      </c>
      <c r="BH100">
        <f t="shared" si="63"/>
        <v>233.2</v>
      </c>
      <c r="BI100">
        <f t="shared" si="64"/>
        <v>369.9</v>
      </c>
      <c r="BJ100">
        <f t="shared" si="65"/>
        <v>367.8</v>
      </c>
      <c r="BK100">
        <f t="shared" si="66"/>
        <v>231.7</v>
      </c>
    </row>
    <row r="101" spans="1:63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34"/>
        <v>125.6</v>
      </c>
      <c r="AF101">
        <f t="shared" si="35"/>
        <v>130.4</v>
      </c>
      <c r="AG101">
        <f t="shared" si="36"/>
        <v>120.8</v>
      </c>
      <c r="AH101">
        <f t="shared" si="37"/>
        <v>129.4</v>
      </c>
      <c r="AI101">
        <f t="shared" si="38"/>
        <v>115.8</v>
      </c>
      <c r="AJ101">
        <f t="shared" si="39"/>
        <v>133.19999999999999</v>
      </c>
      <c r="AK101">
        <f t="shared" si="40"/>
        <v>157.69999999999999</v>
      </c>
      <c r="AL101">
        <f t="shared" si="41"/>
        <v>154.19999999999999</v>
      </c>
      <c r="AM101">
        <f t="shared" si="42"/>
        <v>93.7</v>
      </c>
      <c r="AN101">
        <f t="shared" si="43"/>
        <v>126.6</v>
      </c>
      <c r="AO101">
        <f t="shared" si="44"/>
        <v>122.3</v>
      </c>
      <c r="AP101">
        <f t="shared" si="45"/>
        <v>133.1</v>
      </c>
      <c r="AQ101">
        <f t="shared" si="46"/>
        <v>131.80000000000001</v>
      </c>
      <c r="AR101">
        <f t="shared" si="47"/>
        <v>131.5</v>
      </c>
      <c r="AS101">
        <f t="shared" si="48"/>
        <v>131.1</v>
      </c>
      <c r="AT101">
        <f t="shared" si="49"/>
        <v>127.3</v>
      </c>
      <c r="AU101">
        <f t="shared" si="50"/>
        <v>130.6</v>
      </c>
      <c r="AV101">
        <f t="shared" si="51"/>
        <v>122.4</v>
      </c>
      <c r="AW101">
        <f t="shared" si="52"/>
        <v>124.4</v>
      </c>
      <c r="AX101">
        <f t="shared" si="53"/>
        <v>125.1</v>
      </c>
      <c r="AY101">
        <f t="shared" si="54"/>
        <v>122</v>
      </c>
      <c r="AZ101">
        <f t="shared" si="55"/>
        <v>113.8</v>
      </c>
      <c r="BA101">
        <f t="shared" si="56"/>
        <v>120.1</v>
      </c>
      <c r="BB101">
        <f t="shared" si="57"/>
        <v>125.1</v>
      </c>
      <c r="BC101">
        <f t="shared" si="58"/>
        <v>114.2</v>
      </c>
      <c r="BD101">
        <f t="shared" si="59"/>
        <v>119.2</v>
      </c>
      <c r="BE101">
        <f t="shared" si="60"/>
        <v>127.7</v>
      </c>
      <c r="BF101">
        <f t="shared" si="61"/>
        <v>1674.6</v>
      </c>
      <c r="BG101">
        <f t="shared" si="62"/>
        <v>389</v>
      </c>
      <c r="BH101">
        <f t="shared" si="63"/>
        <v>236.2</v>
      </c>
      <c r="BI101">
        <f t="shared" si="64"/>
        <v>372.6</v>
      </c>
      <c r="BJ101">
        <f t="shared" si="65"/>
        <v>370.8</v>
      </c>
      <c r="BK101">
        <f t="shared" si="66"/>
        <v>238.2</v>
      </c>
    </row>
    <row r="102" spans="1:63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34"/>
        <v>123.6</v>
      </c>
      <c r="AF102">
        <f t="shared" si="35"/>
        <v>128.6</v>
      </c>
      <c r="AG102">
        <f t="shared" si="36"/>
        <v>115.9</v>
      </c>
      <c r="AH102">
        <f t="shared" si="37"/>
        <v>128.5</v>
      </c>
      <c r="AI102">
        <f t="shared" si="38"/>
        <v>109</v>
      </c>
      <c r="AJ102">
        <f t="shared" si="39"/>
        <v>124.1</v>
      </c>
      <c r="AK102">
        <f t="shared" si="40"/>
        <v>165.8</v>
      </c>
      <c r="AL102">
        <f t="shared" si="41"/>
        <v>187.2</v>
      </c>
      <c r="AM102">
        <f t="shared" si="42"/>
        <v>89.4</v>
      </c>
      <c r="AN102">
        <f t="shared" si="43"/>
        <v>135.80000000000001</v>
      </c>
      <c r="AO102">
        <f t="shared" si="44"/>
        <v>119.4</v>
      </c>
      <c r="AP102">
        <f t="shared" si="45"/>
        <v>132.9</v>
      </c>
      <c r="AQ102">
        <f t="shared" si="46"/>
        <v>132.6</v>
      </c>
      <c r="AR102">
        <f t="shared" si="47"/>
        <v>135.30000000000001</v>
      </c>
      <c r="AS102">
        <f t="shared" si="48"/>
        <v>124.4</v>
      </c>
      <c r="AT102">
        <f t="shared" si="49"/>
        <v>118.8</v>
      </c>
      <c r="AU102">
        <f t="shared" si="50"/>
        <v>123.6</v>
      </c>
      <c r="AV102">
        <f t="shared" si="51"/>
        <v>122.4</v>
      </c>
      <c r="AW102">
        <f t="shared" si="52"/>
        <v>114.9</v>
      </c>
      <c r="AX102">
        <f t="shared" si="53"/>
        <v>120.7</v>
      </c>
      <c r="AY102">
        <f t="shared" si="54"/>
        <v>117.7</v>
      </c>
      <c r="AZ102">
        <f t="shared" si="55"/>
        <v>109.3</v>
      </c>
      <c r="BA102">
        <f t="shared" si="56"/>
        <v>117.7</v>
      </c>
      <c r="BB102">
        <f t="shared" si="57"/>
        <v>126.5</v>
      </c>
      <c r="BC102">
        <f t="shared" si="58"/>
        <v>113.5</v>
      </c>
      <c r="BD102">
        <f t="shared" si="59"/>
        <v>116.5</v>
      </c>
      <c r="BE102">
        <f t="shared" si="60"/>
        <v>124.2</v>
      </c>
      <c r="BF102">
        <f t="shared" si="61"/>
        <v>1692.8000000000002</v>
      </c>
      <c r="BG102">
        <f t="shared" si="62"/>
        <v>366.79999999999995</v>
      </c>
      <c r="BH102">
        <f t="shared" si="63"/>
        <v>231.2</v>
      </c>
      <c r="BI102">
        <f t="shared" si="64"/>
        <v>369.6</v>
      </c>
      <c r="BJ102">
        <f t="shared" si="65"/>
        <v>369.5</v>
      </c>
      <c r="BK102">
        <f t="shared" si="66"/>
        <v>224.2</v>
      </c>
    </row>
    <row r="103" spans="1:63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34"/>
        <v>125</v>
      </c>
      <c r="AF103">
        <f t="shared" si="35"/>
        <v>129.80000000000001</v>
      </c>
      <c r="AG103">
        <f t="shared" si="36"/>
        <v>118.9</v>
      </c>
      <c r="AH103">
        <f t="shared" si="37"/>
        <v>129.1</v>
      </c>
      <c r="AI103">
        <f t="shared" si="38"/>
        <v>113.3</v>
      </c>
      <c r="AJ103">
        <f t="shared" si="39"/>
        <v>129</v>
      </c>
      <c r="AK103">
        <f t="shared" si="40"/>
        <v>160.4</v>
      </c>
      <c r="AL103">
        <f t="shared" si="41"/>
        <v>165.3</v>
      </c>
      <c r="AM103">
        <f t="shared" si="42"/>
        <v>92.3</v>
      </c>
      <c r="AN103">
        <f t="shared" si="43"/>
        <v>129.69999999999999</v>
      </c>
      <c r="AO103">
        <f t="shared" si="44"/>
        <v>121.1</v>
      </c>
      <c r="AP103">
        <f t="shared" si="45"/>
        <v>133</v>
      </c>
      <c r="AQ103">
        <f t="shared" si="46"/>
        <v>132.1</v>
      </c>
      <c r="AR103">
        <f t="shared" si="47"/>
        <v>132.5</v>
      </c>
      <c r="AS103">
        <f t="shared" si="48"/>
        <v>128.5</v>
      </c>
      <c r="AT103">
        <f t="shared" si="49"/>
        <v>123.8</v>
      </c>
      <c r="AU103">
        <f t="shared" si="50"/>
        <v>127.8</v>
      </c>
      <c r="AV103">
        <f t="shared" si="51"/>
        <v>122.4</v>
      </c>
      <c r="AW103">
        <f t="shared" si="52"/>
        <v>120.8</v>
      </c>
      <c r="AX103">
        <f t="shared" si="53"/>
        <v>123</v>
      </c>
      <c r="AY103">
        <f t="shared" si="54"/>
        <v>120.4</v>
      </c>
      <c r="AZ103">
        <f t="shared" si="55"/>
        <v>111.4</v>
      </c>
      <c r="BA103">
        <f t="shared" si="56"/>
        <v>118.7</v>
      </c>
      <c r="BB103">
        <f t="shared" si="57"/>
        <v>125.9</v>
      </c>
      <c r="BC103">
        <f t="shared" si="58"/>
        <v>113.9</v>
      </c>
      <c r="BD103">
        <f t="shared" si="59"/>
        <v>117.9</v>
      </c>
      <c r="BE103">
        <f t="shared" si="60"/>
        <v>126.1</v>
      </c>
      <c r="BF103">
        <f t="shared" si="61"/>
        <v>1678.9999999999998</v>
      </c>
      <c r="BG103">
        <f t="shared" si="62"/>
        <v>380.1</v>
      </c>
      <c r="BH103">
        <f t="shared" si="63"/>
        <v>234.3</v>
      </c>
      <c r="BI103">
        <f t="shared" si="64"/>
        <v>371.3</v>
      </c>
      <c r="BJ103">
        <f t="shared" si="65"/>
        <v>369.1</v>
      </c>
      <c r="BK103">
        <f t="shared" si="66"/>
        <v>232.2</v>
      </c>
    </row>
    <row r="104" spans="1:63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34"/>
        <v>126.1</v>
      </c>
      <c r="AF104">
        <f t="shared" si="35"/>
        <v>130.6</v>
      </c>
      <c r="AG104">
        <f t="shared" si="36"/>
        <v>121.7</v>
      </c>
      <c r="AH104">
        <f t="shared" si="37"/>
        <v>129.5</v>
      </c>
      <c r="AI104">
        <f t="shared" si="38"/>
        <v>117.8</v>
      </c>
      <c r="AJ104">
        <f t="shared" si="39"/>
        <v>132.1</v>
      </c>
      <c r="AK104">
        <f t="shared" si="40"/>
        <v>155.19999999999999</v>
      </c>
      <c r="AL104">
        <f t="shared" si="41"/>
        <v>160.80000000000001</v>
      </c>
      <c r="AM104">
        <f t="shared" si="42"/>
        <v>94.5</v>
      </c>
      <c r="AN104">
        <f t="shared" si="43"/>
        <v>128.30000000000001</v>
      </c>
      <c r="AO104">
        <f t="shared" si="44"/>
        <v>123.1</v>
      </c>
      <c r="AP104">
        <f t="shared" si="45"/>
        <v>134.19999999999999</v>
      </c>
      <c r="AQ104">
        <f t="shared" si="46"/>
        <v>132.4</v>
      </c>
      <c r="AR104">
        <f t="shared" si="47"/>
        <v>132.19999999999999</v>
      </c>
      <c r="AS104">
        <f t="shared" si="48"/>
        <v>132.1</v>
      </c>
      <c r="AT104">
        <f t="shared" si="49"/>
        <v>128.19999999999999</v>
      </c>
      <c r="AU104">
        <f t="shared" si="50"/>
        <v>131.5</v>
      </c>
      <c r="AV104">
        <f t="shared" si="51"/>
        <v>122.9</v>
      </c>
      <c r="AW104">
        <f t="shared" si="52"/>
        <v>125.6</v>
      </c>
      <c r="AX104">
        <f t="shared" si="53"/>
        <v>125.6</v>
      </c>
      <c r="AY104">
        <f t="shared" si="54"/>
        <v>122.6</v>
      </c>
      <c r="AZ104">
        <f t="shared" si="55"/>
        <v>114</v>
      </c>
      <c r="BA104">
        <f t="shared" si="56"/>
        <v>120.9</v>
      </c>
      <c r="BB104">
        <f t="shared" si="57"/>
        <v>125.8</v>
      </c>
      <c r="BC104">
        <f t="shared" si="58"/>
        <v>114.2</v>
      </c>
      <c r="BD104">
        <f t="shared" si="59"/>
        <v>119.6</v>
      </c>
      <c r="BE104">
        <f t="shared" si="60"/>
        <v>128.30000000000001</v>
      </c>
      <c r="BF104">
        <f t="shared" si="61"/>
        <v>1686.3</v>
      </c>
      <c r="BG104">
        <f t="shared" si="62"/>
        <v>391.79999999999995</v>
      </c>
      <c r="BH104">
        <f t="shared" si="63"/>
        <v>236.8</v>
      </c>
      <c r="BI104">
        <f t="shared" si="64"/>
        <v>374.29999999999995</v>
      </c>
      <c r="BJ104">
        <f t="shared" si="65"/>
        <v>372.7</v>
      </c>
      <c r="BK104">
        <f t="shared" si="66"/>
        <v>239.6</v>
      </c>
    </row>
    <row r="105" spans="1:63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34"/>
        <v>124</v>
      </c>
      <c r="AF105">
        <f t="shared" si="35"/>
        <v>129.80000000000001</v>
      </c>
      <c r="AG105">
        <f t="shared" si="36"/>
        <v>121.5</v>
      </c>
      <c r="AH105">
        <f t="shared" si="37"/>
        <v>128.6</v>
      </c>
      <c r="AI105">
        <f t="shared" si="38"/>
        <v>110</v>
      </c>
      <c r="AJ105">
        <f t="shared" si="39"/>
        <v>123.7</v>
      </c>
      <c r="AK105">
        <f t="shared" si="40"/>
        <v>164.6</v>
      </c>
      <c r="AL105">
        <f t="shared" si="41"/>
        <v>191.6</v>
      </c>
      <c r="AM105">
        <f t="shared" si="42"/>
        <v>90.8</v>
      </c>
      <c r="AN105">
        <f t="shared" si="43"/>
        <v>137.1</v>
      </c>
      <c r="AO105">
        <f t="shared" si="44"/>
        <v>119.8</v>
      </c>
      <c r="AP105">
        <f t="shared" si="45"/>
        <v>133.69999999999999</v>
      </c>
      <c r="AQ105">
        <f t="shared" si="46"/>
        <v>133.30000000000001</v>
      </c>
      <c r="AR105">
        <f t="shared" si="47"/>
        <v>137.6</v>
      </c>
      <c r="AS105">
        <f t="shared" si="48"/>
        <v>125</v>
      </c>
      <c r="AT105">
        <f t="shared" si="49"/>
        <v>119.3</v>
      </c>
      <c r="AU105">
        <f t="shared" si="50"/>
        <v>124.2</v>
      </c>
      <c r="AV105">
        <f t="shared" si="51"/>
        <v>122.9</v>
      </c>
      <c r="AW105">
        <f t="shared" si="52"/>
        <v>115.1</v>
      </c>
      <c r="AX105">
        <f t="shared" si="53"/>
        <v>121</v>
      </c>
      <c r="AY105">
        <f t="shared" si="54"/>
        <v>118.1</v>
      </c>
      <c r="AZ105">
        <f t="shared" si="55"/>
        <v>109.3</v>
      </c>
      <c r="BA105">
        <f t="shared" si="56"/>
        <v>117.9</v>
      </c>
      <c r="BB105">
        <f t="shared" si="57"/>
        <v>126.6</v>
      </c>
      <c r="BC105">
        <f t="shared" si="58"/>
        <v>113.3</v>
      </c>
      <c r="BD105">
        <f t="shared" si="59"/>
        <v>116.6</v>
      </c>
      <c r="BE105">
        <f t="shared" si="60"/>
        <v>124.6</v>
      </c>
      <c r="BF105">
        <f t="shared" si="61"/>
        <v>1708.4999999999998</v>
      </c>
      <c r="BG105">
        <f t="shared" si="62"/>
        <v>368.5</v>
      </c>
      <c r="BH105">
        <f t="shared" si="63"/>
        <v>231.39999999999998</v>
      </c>
      <c r="BI105">
        <f t="shared" si="64"/>
        <v>370.5</v>
      </c>
      <c r="BJ105">
        <f t="shared" si="65"/>
        <v>372.1</v>
      </c>
      <c r="BK105">
        <f t="shared" si="66"/>
        <v>224.39999999999998</v>
      </c>
    </row>
    <row r="106" spans="1:63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34"/>
        <v>125.4</v>
      </c>
      <c r="AF106">
        <f t="shared" si="35"/>
        <v>130.30000000000001</v>
      </c>
      <c r="AG106">
        <f t="shared" si="36"/>
        <v>121.6</v>
      </c>
      <c r="AH106">
        <f t="shared" si="37"/>
        <v>129.19999999999999</v>
      </c>
      <c r="AI106">
        <f t="shared" si="38"/>
        <v>114.9</v>
      </c>
      <c r="AJ106">
        <f t="shared" si="39"/>
        <v>128.19999999999999</v>
      </c>
      <c r="AK106">
        <f t="shared" si="40"/>
        <v>158.4</v>
      </c>
      <c r="AL106">
        <f t="shared" si="41"/>
        <v>171.2</v>
      </c>
      <c r="AM106">
        <f t="shared" si="42"/>
        <v>93.3</v>
      </c>
      <c r="AN106">
        <f t="shared" si="43"/>
        <v>131.19999999999999</v>
      </c>
      <c r="AO106">
        <f t="shared" si="44"/>
        <v>121.7</v>
      </c>
      <c r="AP106">
        <f t="shared" si="45"/>
        <v>134</v>
      </c>
      <c r="AQ106">
        <f t="shared" si="46"/>
        <v>132.69999999999999</v>
      </c>
      <c r="AR106">
        <f t="shared" si="47"/>
        <v>133.6</v>
      </c>
      <c r="AS106">
        <f t="shared" si="48"/>
        <v>129.30000000000001</v>
      </c>
      <c r="AT106">
        <f t="shared" si="49"/>
        <v>124.5</v>
      </c>
      <c r="AU106">
        <f t="shared" si="50"/>
        <v>128.6</v>
      </c>
      <c r="AV106">
        <f t="shared" si="51"/>
        <v>122.9</v>
      </c>
      <c r="AW106">
        <f t="shared" si="52"/>
        <v>121.6</v>
      </c>
      <c r="AX106">
        <f t="shared" si="53"/>
        <v>123.4</v>
      </c>
      <c r="AY106">
        <f t="shared" si="54"/>
        <v>120.9</v>
      </c>
      <c r="AZ106">
        <f t="shared" si="55"/>
        <v>111.5</v>
      </c>
      <c r="BA106">
        <f t="shared" si="56"/>
        <v>119.2</v>
      </c>
      <c r="BB106">
        <f t="shared" si="57"/>
        <v>126.3</v>
      </c>
      <c r="BC106">
        <f t="shared" si="58"/>
        <v>113.8</v>
      </c>
      <c r="BD106">
        <f t="shared" si="59"/>
        <v>118.1</v>
      </c>
      <c r="BE106">
        <f t="shared" si="60"/>
        <v>126.6</v>
      </c>
      <c r="BF106">
        <f t="shared" si="61"/>
        <v>1692.1</v>
      </c>
      <c r="BG106">
        <f t="shared" si="62"/>
        <v>382.4</v>
      </c>
      <c r="BH106">
        <f t="shared" si="63"/>
        <v>234.7</v>
      </c>
      <c r="BI106">
        <f t="shared" si="64"/>
        <v>372.6</v>
      </c>
      <c r="BJ106">
        <f t="shared" si="65"/>
        <v>370.9</v>
      </c>
      <c r="BK106">
        <f t="shared" si="66"/>
        <v>233.1</v>
      </c>
    </row>
    <row r="107" spans="1:63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34"/>
        <v>126.3</v>
      </c>
      <c r="AF107">
        <f t="shared" si="35"/>
        <v>131.30000000000001</v>
      </c>
      <c r="AG107">
        <f t="shared" si="36"/>
        <v>123.3</v>
      </c>
      <c r="AH107">
        <f t="shared" si="37"/>
        <v>129.80000000000001</v>
      </c>
      <c r="AI107">
        <f t="shared" si="38"/>
        <v>118.3</v>
      </c>
      <c r="AJ107">
        <f t="shared" si="39"/>
        <v>131.6</v>
      </c>
      <c r="AK107">
        <f t="shared" si="40"/>
        <v>145.5</v>
      </c>
      <c r="AL107">
        <f t="shared" si="41"/>
        <v>162.1</v>
      </c>
      <c r="AM107">
        <f t="shared" si="42"/>
        <v>95.4</v>
      </c>
      <c r="AN107">
        <f t="shared" si="43"/>
        <v>128.9</v>
      </c>
      <c r="AO107">
        <f t="shared" si="44"/>
        <v>123.3</v>
      </c>
      <c r="AP107">
        <f t="shared" si="45"/>
        <v>135.1</v>
      </c>
      <c r="AQ107">
        <f t="shared" si="46"/>
        <v>131.4</v>
      </c>
      <c r="AR107">
        <f t="shared" si="47"/>
        <v>133.1</v>
      </c>
      <c r="AS107">
        <f t="shared" si="48"/>
        <v>132.5</v>
      </c>
      <c r="AT107">
        <f t="shared" si="49"/>
        <v>128.5</v>
      </c>
      <c r="AU107">
        <f t="shared" si="50"/>
        <v>131.9</v>
      </c>
      <c r="AV107">
        <f t="shared" si="51"/>
        <v>122.4</v>
      </c>
      <c r="AW107">
        <f t="shared" si="52"/>
        <v>125.7</v>
      </c>
      <c r="AX107">
        <f t="shared" si="53"/>
        <v>126</v>
      </c>
      <c r="AY107">
        <f t="shared" si="54"/>
        <v>123.1</v>
      </c>
      <c r="AZ107">
        <f t="shared" si="55"/>
        <v>114</v>
      </c>
      <c r="BA107">
        <f t="shared" si="56"/>
        <v>121.6</v>
      </c>
      <c r="BB107">
        <f t="shared" si="57"/>
        <v>125.6</v>
      </c>
      <c r="BC107">
        <f t="shared" si="58"/>
        <v>114.1</v>
      </c>
      <c r="BD107">
        <f t="shared" si="59"/>
        <v>119.8</v>
      </c>
      <c r="BE107">
        <f t="shared" si="60"/>
        <v>127.9</v>
      </c>
      <c r="BF107">
        <f t="shared" si="61"/>
        <v>1682.3000000000002</v>
      </c>
      <c r="BG107">
        <f t="shared" si="62"/>
        <v>392.9</v>
      </c>
      <c r="BH107">
        <f t="shared" si="63"/>
        <v>237.2</v>
      </c>
      <c r="BI107">
        <f t="shared" si="64"/>
        <v>374</v>
      </c>
      <c r="BJ107">
        <f t="shared" si="65"/>
        <v>374.5</v>
      </c>
      <c r="BK107">
        <f t="shared" si="66"/>
        <v>239.7</v>
      </c>
    </row>
    <row r="108" spans="1:63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34"/>
        <v>124.3</v>
      </c>
      <c r="AF108">
        <f t="shared" si="35"/>
        <v>131.69999999999999</v>
      </c>
      <c r="AG108">
        <f t="shared" si="36"/>
        <v>127.1</v>
      </c>
      <c r="AH108">
        <f t="shared" si="37"/>
        <v>128.6</v>
      </c>
      <c r="AI108">
        <f t="shared" si="38"/>
        <v>110</v>
      </c>
      <c r="AJ108">
        <f t="shared" si="39"/>
        <v>120.8</v>
      </c>
      <c r="AK108">
        <f t="shared" si="40"/>
        <v>149</v>
      </c>
      <c r="AL108">
        <f t="shared" si="41"/>
        <v>190.1</v>
      </c>
      <c r="AM108">
        <f t="shared" si="42"/>
        <v>92.7</v>
      </c>
      <c r="AN108">
        <f t="shared" si="43"/>
        <v>138.6</v>
      </c>
      <c r="AO108">
        <f t="shared" si="44"/>
        <v>120.2</v>
      </c>
      <c r="AP108">
        <f t="shared" si="45"/>
        <v>134.19999999999999</v>
      </c>
      <c r="AQ108">
        <f t="shared" si="46"/>
        <v>131.5</v>
      </c>
      <c r="AR108">
        <f t="shared" si="47"/>
        <v>138.19999999999999</v>
      </c>
      <c r="AS108">
        <f t="shared" si="48"/>
        <v>125.4</v>
      </c>
      <c r="AT108">
        <f t="shared" si="49"/>
        <v>119.5</v>
      </c>
      <c r="AU108">
        <f t="shared" si="50"/>
        <v>124.5</v>
      </c>
      <c r="AV108">
        <f t="shared" si="51"/>
        <v>122.4</v>
      </c>
      <c r="AW108">
        <f t="shared" si="52"/>
        <v>116</v>
      </c>
      <c r="AX108">
        <f t="shared" si="53"/>
        <v>121</v>
      </c>
      <c r="AY108">
        <f t="shared" si="54"/>
        <v>118.6</v>
      </c>
      <c r="AZ108">
        <f t="shared" si="55"/>
        <v>109.3</v>
      </c>
      <c r="BA108">
        <f t="shared" si="56"/>
        <v>118.1</v>
      </c>
      <c r="BB108">
        <f t="shared" si="57"/>
        <v>126.6</v>
      </c>
      <c r="BC108">
        <f t="shared" si="58"/>
        <v>113.2</v>
      </c>
      <c r="BD108">
        <f t="shared" si="59"/>
        <v>116.7</v>
      </c>
      <c r="BE108">
        <f t="shared" si="60"/>
        <v>124</v>
      </c>
      <c r="BF108">
        <f t="shared" si="61"/>
        <v>1698.8</v>
      </c>
      <c r="BG108">
        <f t="shared" si="62"/>
        <v>369.4</v>
      </c>
      <c r="BH108">
        <f t="shared" si="63"/>
        <v>231.8</v>
      </c>
      <c r="BI108">
        <f t="shared" si="64"/>
        <v>370</v>
      </c>
      <c r="BJ108">
        <f t="shared" si="65"/>
        <v>372.99999999999994</v>
      </c>
      <c r="BK108">
        <f t="shared" si="66"/>
        <v>225.3</v>
      </c>
    </row>
    <row r="109" spans="1:63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34"/>
        <v>125.7</v>
      </c>
      <c r="AF109">
        <f t="shared" si="35"/>
        <v>131.4</v>
      </c>
      <c r="AG109">
        <f t="shared" si="36"/>
        <v>124.8</v>
      </c>
      <c r="AH109">
        <f t="shared" si="37"/>
        <v>129.4</v>
      </c>
      <c r="AI109">
        <f t="shared" si="38"/>
        <v>115.3</v>
      </c>
      <c r="AJ109">
        <f t="shared" si="39"/>
        <v>126.6</v>
      </c>
      <c r="AK109">
        <f t="shared" si="40"/>
        <v>146.69999999999999</v>
      </c>
      <c r="AL109">
        <f t="shared" si="41"/>
        <v>171.5</v>
      </c>
      <c r="AM109">
        <f t="shared" si="42"/>
        <v>94.5</v>
      </c>
      <c r="AN109">
        <f t="shared" si="43"/>
        <v>132.1</v>
      </c>
      <c r="AO109">
        <f t="shared" si="44"/>
        <v>122</v>
      </c>
      <c r="AP109">
        <f t="shared" si="45"/>
        <v>134.69999999999999</v>
      </c>
      <c r="AQ109">
        <f t="shared" si="46"/>
        <v>131.4</v>
      </c>
      <c r="AR109">
        <f t="shared" si="47"/>
        <v>134.5</v>
      </c>
      <c r="AS109">
        <f t="shared" si="48"/>
        <v>129.69999999999999</v>
      </c>
      <c r="AT109">
        <f t="shared" si="49"/>
        <v>124.8</v>
      </c>
      <c r="AU109">
        <f t="shared" si="50"/>
        <v>129</v>
      </c>
      <c r="AV109">
        <f t="shared" si="51"/>
        <v>122.4</v>
      </c>
      <c r="AW109">
        <f t="shared" si="52"/>
        <v>122</v>
      </c>
      <c r="AX109">
        <f t="shared" si="53"/>
        <v>123.6</v>
      </c>
      <c r="AY109">
        <f t="shared" si="54"/>
        <v>121.4</v>
      </c>
      <c r="AZ109">
        <f t="shared" si="55"/>
        <v>111.5</v>
      </c>
      <c r="BA109">
        <f t="shared" si="56"/>
        <v>119.6</v>
      </c>
      <c r="BB109">
        <f t="shared" si="57"/>
        <v>126.2</v>
      </c>
      <c r="BC109">
        <f t="shared" si="58"/>
        <v>113.7</v>
      </c>
      <c r="BD109">
        <f t="shared" si="59"/>
        <v>118.3</v>
      </c>
      <c r="BE109">
        <f t="shared" si="60"/>
        <v>126.1</v>
      </c>
      <c r="BF109">
        <f t="shared" si="61"/>
        <v>1686.1000000000001</v>
      </c>
      <c r="BG109">
        <f t="shared" si="62"/>
        <v>383.5</v>
      </c>
      <c r="BH109">
        <f t="shared" si="63"/>
        <v>235.10000000000002</v>
      </c>
      <c r="BI109">
        <f t="shared" si="64"/>
        <v>372.20000000000005</v>
      </c>
      <c r="BJ109">
        <f t="shared" si="65"/>
        <v>372.4</v>
      </c>
      <c r="BK109">
        <f t="shared" si="66"/>
        <v>233.5</v>
      </c>
    </row>
    <row r="110" spans="1:63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34"/>
        <v>126.8</v>
      </c>
      <c r="AF110">
        <f t="shared" si="35"/>
        <v>133.19999999999999</v>
      </c>
      <c r="AG110">
        <f t="shared" si="36"/>
        <v>126.5</v>
      </c>
      <c r="AH110">
        <f t="shared" si="37"/>
        <v>130.30000000000001</v>
      </c>
      <c r="AI110">
        <f t="shared" si="38"/>
        <v>118.9</v>
      </c>
      <c r="AJ110">
        <f t="shared" si="39"/>
        <v>131.6</v>
      </c>
      <c r="AK110">
        <f t="shared" si="40"/>
        <v>140.1</v>
      </c>
      <c r="AL110">
        <f t="shared" si="41"/>
        <v>163.80000000000001</v>
      </c>
      <c r="AM110">
        <f t="shared" si="42"/>
        <v>97.7</v>
      </c>
      <c r="AN110">
        <f t="shared" si="43"/>
        <v>129.6</v>
      </c>
      <c r="AO110">
        <f t="shared" si="44"/>
        <v>124.3</v>
      </c>
      <c r="AP110">
        <f t="shared" si="45"/>
        <v>135.9</v>
      </c>
      <c r="AQ110">
        <f t="shared" si="46"/>
        <v>131.4</v>
      </c>
      <c r="AR110">
        <f t="shared" si="47"/>
        <v>133.6</v>
      </c>
      <c r="AS110">
        <f t="shared" si="48"/>
        <v>133.19999999999999</v>
      </c>
      <c r="AT110">
        <f t="shared" si="49"/>
        <v>128.9</v>
      </c>
      <c r="AU110">
        <f t="shared" si="50"/>
        <v>132.6</v>
      </c>
      <c r="AV110">
        <f t="shared" si="51"/>
        <v>123.4</v>
      </c>
      <c r="AW110">
        <f t="shared" si="52"/>
        <v>126.2</v>
      </c>
      <c r="AX110">
        <f t="shared" si="53"/>
        <v>126.6</v>
      </c>
      <c r="AY110">
        <f t="shared" si="54"/>
        <v>123.7</v>
      </c>
      <c r="AZ110">
        <f t="shared" si="55"/>
        <v>113.6</v>
      </c>
      <c r="BA110">
        <f t="shared" si="56"/>
        <v>121.4</v>
      </c>
      <c r="BB110">
        <f t="shared" si="57"/>
        <v>126.2</v>
      </c>
      <c r="BC110">
        <f t="shared" si="58"/>
        <v>114.9</v>
      </c>
      <c r="BD110">
        <f t="shared" si="59"/>
        <v>120.1</v>
      </c>
      <c r="BE110">
        <f t="shared" si="60"/>
        <v>128.1</v>
      </c>
      <c r="BF110">
        <f t="shared" si="61"/>
        <v>1690.1000000000001</v>
      </c>
      <c r="BG110">
        <f t="shared" si="62"/>
        <v>394.70000000000005</v>
      </c>
      <c r="BH110">
        <f t="shared" si="63"/>
        <v>238.60000000000002</v>
      </c>
      <c r="BI110">
        <f t="shared" si="64"/>
        <v>376.20000000000005</v>
      </c>
      <c r="BJ110">
        <f t="shared" si="65"/>
        <v>375.1</v>
      </c>
      <c r="BK110">
        <f t="shared" si="66"/>
        <v>239.8</v>
      </c>
    </row>
    <row r="111" spans="1:63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34"/>
        <v>124.7</v>
      </c>
      <c r="AF111">
        <f t="shared" si="35"/>
        <v>135.9</v>
      </c>
      <c r="AG111">
        <f t="shared" si="36"/>
        <v>132</v>
      </c>
      <c r="AH111">
        <f t="shared" si="37"/>
        <v>129.19999999999999</v>
      </c>
      <c r="AI111">
        <f t="shared" si="38"/>
        <v>109.7</v>
      </c>
      <c r="AJ111">
        <f t="shared" si="39"/>
        <v>119</v>
      </c>
      <c r="AK111">
        <f t="shared" si="40"/>
        <v>144.1</v>
      </c>
      <c r="AL111">
        <f t="shared" si="41"/>
        <v>184.2</v>
      </c>
      <c r="AM111">
        <f t="shared" si="42"/>
        <v>96.7</v>
      </c>
      <c r="AN111">
        <f t="shared" si="43"/>
        <v>139.5</v>
      </c>
      <c r="AO111">
        <f t="shared" si="44"/>
        <v>120.5</v>
      </c>
      <c r="AP111">
        <f t="shared" si="45"/>
        <v>134.69999999999999</v>
      </c>
      <c r="AQ111">
        <f t="shared" si="46"/>
        <v>131.19999999999999</v>
      </c>
      <c r="AR111">
        <f t="shared" si="47"/>
        <v>139.5</v>
      </c>
      <c r="AS111">
        <f t="shared" si="48"/>
        <v>125.8</v>
      </c>
      <c r="AT111">
        <f t="shared" si="49"/>
        <v>119.8</v>
      </c>
      <c r="AU111">
        <f t="shared" si="50"/>
        <v>124.9</v>
      </c>
      <c r="AV111">
        <f t="shared" si="51"/>
        <v>123.4</v>
      </c>
      <c r="AW111">
        <f t="shared" si="52"/>
        <v>116.9</v>
      </c>
      <c r="AX111">
        <f t="shared" si="53"/>
        <v>121.6</v>
      </c>
      <c r="AY111">
        <f t="shared" si="54"/>
        <v>119.1</v>
      </c>
      <c r="AZ111">
        <f t="shared" si="55"/>
        <v>108.9</v>
      </c>
      <c r="BA111">
        <f t="shared" si="56"/>
        <v>118.5</v>
      </c>
      <c r="BB111">
        <f t="shared" si="57"/>
        <v>126.4</v>
      </c>
      <c r="BC111">
        <f t="shared" si="58"/>
        <v>114</v>
      </c>
      <c r="BD111">
        <f t="shared" si="59"/>
        <v>116.8</v>
      </c>
      <c r="BE111">
        <f t="shared" si="60"/>
        <v>124.2</v>
      </c>
      <c r="BF111">
        <f t="shared" si="61"/>
        <v>1701.4</v>
      </c>
      <c r="BG111">
        <f t="shared" si="62"/>
        <v>370.5</v>
      </c>
      <c r="BH111">
        <f t="shared" si="63"/>
        <v>233.1</v>
      </c>
      <c r="BI111">
        <f t="shared" si="64"/>
        <v>371.4</v>
      </c>
      <c r="BJ111">
        <f t="shared" si="65"/>
        <v>374.8</v>
      </c>
      <c r="BK111">
        <f t="shared" si="66"/>
        <v>225.8</v>
      </c>
    </row>
    <row r="112" spans="1:63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34"/>
        <v>126.1</v>
      </c>
      <c r="AF112">
        <f t="shared" si="35"/>
        <v>134.1</v>
      </c>
      <c r="AG112">
        <f t="shared" si="36"/>
        <v>128.6</v>
      </c>
      <c r="AH112">
        <f t="shared" si="37"/>
        <v>129.9</v>
      </c>
      <c r="AI112">
        <f t="shared" si="38"/>
        <v>115.5</v>
      </c>
      <c r="AJ112">
        <f t="shared" si="39"/>
        <v>125.7</v>
      </c>
      <c r="AK112">
        <f t="shared" si="40"/>
        <v>141.5</v>
      </c>
      <c r="AL112">
        <f t="shared" si="41"/>
        <v>170.7</v>
      </c>
      <c r="AM112">
        <f t="shared" si="42"/>
        <v>97.4</v>
      </c>
      <c r="AN112">
        <f t="shared" si="43"/>
        <v>132.9</v>
      </c>
      <c r="AO112">
        <f t="shared" si="44"/>
        <v>122.7</v>
      </c>
      <c r="AP112">
        <f t="shared" si="45"/>
        <v>135.30000000000001</v>
      </c>
      <c r="AQ112">
        <f t="shared" si="46"/>
        <v>131.30000000000001</v>
      </c>
      <c r="AR112">
        <f t="shared" si="47"/>
        <v>135.19999999999999</v>
      </c>
      <c r="AS112">
        <f t="shared" si="48"/>
        <v>130.30000000000001</v>
      </c>
      <c r="AT112">
        <f t="shared" si="49"/>
        <v>125.1</v>
      </c>
      <c r="AU112">
        <f t="shared" si="50"/>
        <v>129.5</v>
      </c>
      <c r="AV112">
        <f t="shared" si="51"/>
        <v>123.4</v>
      </c>
      <c r="AW112">
        <f t="shared" si="52"/>
        <v>122.7</v>
      </c>
      <c r="AX112">
        <f t="shared" si="53"/>
        <v>124.2</v>
      </c>
      <c r="AY112">
        <f t="shared" si="54"/>
        <v>122</v>
      </c>
      <c r="AZ112">
        <f t="shared" si="55"/>
        <v>111.1</v>
      </c>
      <c r="BA112">
        <f t="shared" si="56"/>
        <v>119.8</v>
      </c>
      <c r="BB112">
        <f t="shared" si="57"/>
        <v>126.3</v>
      </c>
      <c r="BC112">
        <f t="shared" si="58"/>
        <v>114.5</v>
      </c>
      <c r="BD112">
        <f t="shared" si="59"/>
        <v>118.5</v>
      </c>
      <c r="BE112">
        <f t="shared" si="60"/>
        <v>126.3</v>
      </c>
      <c r="BF112">
        <f t="shared" si="61"/>
        <v>1691.7</v>
      </c>
      <c r="BG112">
        <f t="shared" si="62"/>
        <v>384.9</v>
      </c>
      <c r="BH112">
        <f t="shared" si="63"/>
        <v>236.5</v>
      </c>
      <c r="BI112">
        <f t="shared" si="64"/>
        <v>373.9</v>
      </c>
      <c r="BJ112">
        <f t="shared" si="65"/>
        <v>373.5</v>
      </c>
      <c r="BK112">
        <f t="shared" si="66"/>
        <v>233.8</v>
      </c>
    </row>
    <row r="113" spans="1:63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34"/>
        <v>127.1</v>
      </c>
      <c r="AF113">
        <f t="shared" si="35"/>
        <v>133.69999999999999</v>
      </c>
      <c r="AG113">
        <f t="shared" si="36"/>
        <v>127.7</v>
      </c>
      <c r="AH113">
        <f t="shared" si="37"/>
        <v>130.69999999999999</v>
      </c>
      <c r="AI113">
        <f t="shared" si="38"/>
        <v>118.5</v>
      </c>
      <c r="AJ113">
        <f t="shared" si="39"/>
        <v>130.4</v>
      </c>
      <c r="AK113">
        <f t="shared" si="40"/>
        <v>130.9</v>
      </c>
      <c r="AL113">
        <f t="shared" si="41"/>
        <v>162.80000000000001</v>
      </c>
      <c r="AM113">
        <f t="shared" si="42"/>
        <v>98.7</v>
      </c>
      <c r="AN113">
        <f t="shared" si="43"/>
        <v>130.6</v>
      </c>
      <c r="AO113">
        <f t="shared" si="44"/>
        <v>124.8</v>
      </c>
      <c r="AP113">
        <f t="shared" si="45"/>
        <v>136.4</v>
      </c>
      <c r="AQ113">
        <f t="shared" si="46"/>
        <v>130.30000000000001</v>
      </c>
      <c r="AR113">
        <f t="shared" si="47"/>
        <v>134.4</v>
      </c>
      <c r="AS113">
        <f t="shared" si="48"/>
        <v>133.9</v>
      </c>
      <c r="AT113">
        <f t="shared" si="49"/>
        <v>129.80000000000001</v>
      </c>
      <c r="AU113">
        <f t="shared" si="50"/>
        <v>133.4</v>
      </c>
      <c r="AV113">
        <f t="shared" si="51"/>
        <v>124.4</v>
      </c>
      <c r="AW113">
        <f t="shared" si="52"/>
        <v>127.5</v>
      </c>
      <c r="AX113">
        <f t="shared" si="53"/>
        <v>127.1</v>
      </c>
      <c r="AY113">
        <f t="shared" si="54"/>
        <v>124.3</v>
      </c>
      <c r="AZ113">
        <f t="shared" si="55"/>
        <v>113.9</v>
      </c>
      <c r="BA113">
        <f t="shared" si="56"/>
        <v>122.3</v>
      </c>
      <c r="BB113">
        <f t="shared" si="57"/>
        <v>127.1</v>
      </c>
      <c r="BC113">
        <f t="shared" si="58"/>
        <v>116.8</v>
      </c>
      <c r="BD113">
        <f t="shared" si="59"/>
        <v>120.9</v>
      </c>
      <c r="BE113">
        <f t="shared" si="60"/>
        <v>127.9</v>
      </c>
      <c r="BF113">
        <f t="shared" si="61"/>
        <v>1682.6</v>
      </c>
      <c r="BG113">
        <f t="shared" si="62"/>
        <v>397.1</v>
      </c>
      <c r="BH113">
        <f t="shared" si="63"/>
        <v>241.1</v>
      </c>
      <c r="BI113">
        <f t="shared" si="64"/>
        <v>378.6</v>
      </c>
      <c r="BJ113">
        <f t="shared" si="65"/>
        <v>377.6</v>
      </c>
      <c r="BK113">
        <f t="shared" si="66"/>
        <v>241.4</v>
      </c>
    </row>
    <row r="114" spans="1:63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34"/>
        <v>124.8</v>
      </c>
      <c r="AF114">
        <f t="shared" si="35"/>
        <v>135.1</v>
      </c>
      <c r="AG114">
        <f t="shared" si="36"/>
        <v>130.30000000000001</v>
      </c>
      <c r="AH114">
        <f t="shared" si="37"/>
        <v>129.6</v>
      </c>
      <c r="AI114">
        <f t="shared" si="38"/>
        <v>108.4</v>
      </c>
      <c r="AJ114">
        <f t="shared" si="39"/>
        <v>118.6</v>
      </c>
      <c r="AK114">
        <f t="shared" si="40"/>
        <v>129.19999999999999</v>
      </c>
      <c r="AL114">
        <f t="shared" si="41"/>
        <v>176.4</v>
      </c>
      <c r="AM114">
        <f t="shared" si="42"/>
        <v>99.1</v>
      </c>
      <c r="AN114">
        <f t="shared" si="43"/>
        <v>139.69999999999999</v>
      </c>
      <c r="AO114">
        <f t="shared" si="44"/>
        <v>120.6</v>
      </c>
      <c r="AP114">
        <f t="shared" si="45"/>
        <v>135.19999999999999</v>
      </c>
      <c r="AQ114">
        <f t="shared" si="46"/>
        <v>129.1</v>
      </c>
      <c r="AR114">
        <f t="shared" si="47"/>
        <v>140</v>
      </c>
      <c r="AS114">
        <f t="shared" si="48"/>
        <v>126.2</v>
      </c>
      <c r="AT114">
        <f t="shared" si="49"/>
        <v>120.1</v>
      </c>
      <c r="AU114">
        <f t="shared" si="50"/>
        <v>125.3</v>
      </c>
      <c r="AV114">
        <f t="shared" si="51"/>
        <v>124.4</v>
      </c>
      <c r="AW114">
        <f t="shared" si="52"/>
        <v>116</v>
      </c>
      <c r="AX114">
        <f t="shared" si="53"/>
        <v>121.8</v>
      </c>
      <c r="AY114">
        <f t="shared" si="54"/>
        <v>119.5</v>
      </c>
      <c r="AZ114">
        <f t="shared" si="55"/>
        <v>109.1</v>
      </c>
      <c r="BA114">
        <f t="shared" si="56"/>
        <v>118.8</v>
      </c>
      <c r="BB114">
        <f t="shared" si="57"/>
        <v>126.3</v>
      </c>
      <c r="BC114">
        <f t="shared" si="58"/>
        <v>116.2</v>
      </c>
      <c r="BD114">
        <f t="shared" si="59"/>
        <v>117.2</v>
      </c>
      <c r="BE114">
        <f t="shared" si="60"/>
        <v>123.8</v>
      </c>
      <c r="BF114">
        <f t="shared" si="61"/>
        <v>1676.1</v>
      </c>
      <c r="BG114">
        <f t="shared" si="62"/>
        <v>371.6</v>
      </c>
      <c r="BH114">
        <f t="shared" si="63"/>
        <v>235.7</v>
      </c>
      <c r="BI114">
        <f t="shared" si="64"/>
        <v>372.5</v>
      </c>
      <c r="BJ114">
        <f t="shared" si="65"/>
        <v>376</v>
      </c>
      <c r="BK114">
        <f t="shared" si="66"/>
        <v>225.1</v>
      </c>
    </row>
    <row r="115" spans="1:63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34"/>
        <v>126.4</v>
      </c>
      <c r="AF115">
        <f t="shared" si="35"/>
        <v>134.19999999999999</v>
      </c>
      <c r="AG115">
        <f t="shared" si="36"/>
        <v>128.69999999999999</v>
      </c>
      <c r="AH115">
        <f t="shared" si="37"/>
        <v>130.30000000000001</v>
      </c>
      <c r="AI115">
        <f t="shared" si="38"/>
        <v>114.8</v>
      </c>
      <c r="AJ115">
        <f t="shared" si="39"/>
        <v>124.9</v>
      </c>
      <c r="AK115">
        <f t="shared" si="40"/>
        <v>130.30000000000001</v>
      </c>
      <c r="AL115">
        <f t="shared" si="41"/>
        <v>167.4</v>
      </c>
      <c r="AM115">
        <f t="shared" si="42"/>
        <v>98.8</v>
      </c>
      <c r="AN115">
        <f t="shared" si="43"/>
        <v>133.6</v>
      </c>
      <c r="AO115">
        <f t="shared" si="44"/>
        <v>123</v>
      </c>
      <c r="AP115">
        <f t="shared" si="45"/>
        <v>135.80000000000001</v>
      </c>
      <c r="AQ115">
        <f t="shared" si="46"/>
        <v>129.9</v>
      </c>
      <c r="AR115">
        <f t="shared" si="47"/>
        <v>135.9</v>
      </c>
      <c r="AS115">
        <f t="shared" si="48"/>
        <v>130.9</v>
      </c>
      <c r="AT115">
        <f t="shared" si="49"/>
        <v>125.8</v>
      </c>
      <c r="AU115">
        <f t="shared" si="50"/>
        <v>130.19999999999999</v>
      </c>
      <c r="AV115">
        <f t="shared" si="51"/>
        <v>124.4</v>
      </c>
      <c r="AW115">
        <f t="shared" si="52"/>
        <v>123.1</v>
      </c>
      <c r="AX115">
        <f t="shared" si="53"/>
        <v>124.6</v>
      </c>
      <c r="AY115">
        <f t="shared" si="54"/>
        <v>122.5</v>
      </c>
      <c r="AZ115">
        <f t="shared" si="55"/>
        <v>111.4</v>
      </c>
      <c r="BA115">
        <f t="shared" si="56"/>
        <v>120.3</v>
      </c>
      <c r="BB115">
        <f t="shared" si="57"/>
        <v>126.6</v>
      </c>
      <c r="BC115">
        <f t="shared" si="58"/>
        <v>116.6</v>
      </c>
      <c r="BD115">
        <f t="shared" si="59"/>
        <v>119.1</v>
      </c>
      <c r="BE115">
        <f t="shared" si="60"/>
        <v>126</v>
      </c>
      <c r="BF115">
        <f t="shared" si="61"/>
        <v>1678.1</v>
      </c>
      <c r="BG115">
        <f t="shared" si="62"/>
        <v>386.9</v>
      </c>
      <c r="BH115">
        <f t="shared" si="63"/>
        <v>239.1</v>
      </c>
      <c r="BI115">
        <f t="shared" si="64"/>
        <v>375.6</v>
      </c>
      <c r="BJ115">
        <f t="shared" si="65"/>
        <v>375.29999999999995</v>
      </c>
      <c r="BK115">
        <f t="shared" si="66"/>
        <v>234.5</v>
      </c>
    </row>
    <row r="116" spans="1:63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34"/>
        <v>127.3</v>
      </c>
      <c r="AF116">
        <f t="shared" si="35"/>
        <v>134.4</v>
      </c>
      <c r="AG116">
        <f t="shared" si="36"/>
        <v>125.1</v>
      </c>
      <c r="AH116">
        <f t="shared" si="37"/>
        <v>130.5</v>
      </c>
      <c r="AI116">
        <f t="shared" si="38"/>
        <v>118.3</v>
      </c>
      <c r="AJ116">
        <f t="shared" si="39"/>
        <v>131.69999999999999</v>
      </c>
      <c r="AK116">
        <f t="shared" si="40"/>
        <v>130.69999999999999</v>
      </c>
      <c r="AL116">
        <f t="shared" si="41"/>
        <v>161.19999999999999</v>
      </c>
      <c r="AM116">
        <f t="shared" si="42"/>
        <v>100.4</v>
      </c>
      <c r="AN116">
        <f t="shared" si="43"/>
        <v>130.80000000000001</v>
      </c>
      <c r="AO116">
        <f t="shared" si="44"/>
        <v>124.9</v>
      </c>
      <c r="AP116">
        <f t="shared" si="45"/>
        <v>137</v>
      </c>
      <c r="AQ116">
        <f t="shared" si="46"/>
        <v>130.4</v>
      </c>
      <c r="AR116">
        <f t="shared" si="47"/>
        <v>135</v>
      </c>
      <c r="AS116">
        <f t="shared" si="48"/>
        <v>134.4</v>
      </c>
      <c r="AT116">
        <f t="shared" si="49"/>
        <v>130.19999999999999</v>
      </c>
      <c r="AU116">
        <f t="shared" si="50"/>
        <v>133.80000000000001</v>
      </c>
      <c r="AV116">
        <f t="shared" si="51"/>
        <v>124.9</v>
      </c>
      <c r="AW116">
        <f t="shared" si="52"/>
        <v>127</v>
      </c>
      <c r="AX116">
        <f t="shared" si="53"/>
        <v>127.7</v>
      </c>
      <c r="AY116">
        <f t="shared" si="54"/>
        <v>124.8</v>
      </c>
      <c r="AZ116">
        <f t="shared" si="55"/>
        <v>113.6</v>
      </c>
      <c r="BA116">
        <f t="shared" si="56"/>
        <v>122.5</v>
      </c>
      <c r="BB116">
        <f t="shared" si="57"/>
        <v>127.5</v>
      </c>
      <c r="BC116">
        <f t="shared" si="58"/>
        <v>117.4</v>
      </c>
      <c r="BD116">
        <f t="shared" si="59"/>
        <v>121.1</v>
      </c>
      <c r="BE116">
        <f t="shared" si="60"/>
        <v>128</v>
      </c>
      <c r="BF116">
        <f t="shared" si="61"/>
        <v>1682.7000000000003</v>
      </c>
      <c r="BG116">
        <f t="shared" si="62"/>
        <v>398.40000000000003</v>
      </c>
      <c r="BH116">
        <f t="shared" si="63"/>
        <v>242.2</v>
      </c>
      <c r="BI116">
        <f t="shared" si="64"/>
        <v>380.1</v>
      </c>
      <c r="BJ116">
        <f t="shared" si="65"/>
        <v>378.6</v>
      </c>
      <c r="BK116">
        <f t="shared" si="66"/>
        <v>240.6</v>
      </c>
    </row>
    <row r="117" spans="1:63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34"/>
        <v>124.8</v>
      </c>
      <c r="AF117">
        <f t="shared" si="35"/>
        <v>136.30000000000001</v>
      </c>
      <c r="AG117">
        <f t="shared" si="36"/>
        <v>123.7</v>
      </c>
      <c r="AH117">
        <f t="shared" si="37"/>
        <v>129.69999999999999</v>
      </c>
      <c r="AI117">
        <f t="shared" si="38"/>
        <v>107.9</v>
      </c>
      <c r="AJ117">
        <f t="shared" si="39"/>
        <v>119.9</v>
      </c>
      <c r="AK117">
        <f t="shared" si="40"/>
        <v>128.1</v>
      </c>
      <c r="AL117">
        <f t="shared" si="41"/>
        <v>170.3</v>
      </c>
      <c r="AM117">
        <f t="shared" si="42"/>
        <v>101.8</v>
      </c>
      <c r="AN117">
        <f t="shared" si="43"/>
        <v>140.1</v>
      </c>
      <c r="AO117">
        <f t="shared" si="44"/>
        <v>120.7</v>
      </c>
      <c r="AP117">
        <f t="shared" si="45"/>
        <v>135.4</v>
      </c>
      <c r="AQ117">
        <f t="shared" si="46"/>
        <v>128.9</v>
      </c>
      <c r="AR117">
        <f t="shared" si="47"/>
        <v>140.6</v>
      </c>
      <c r="AS117">
        <f t="shared" si="48"/>
        <v>126.4</v>
      </c>
      <c r="AT117">
        <f t="shared" si="49"/>
        <v>120.3</v>
      </c>
      <c r="AU117">
        <f t="shared" si="50"/>
        <v>125.5</v>
      </c>
      <c r="AV117">
        <f t="shared" si="51"/>
        <v>124.9</v>
      </c>
      <c r="AW117">
        <f t="shared" si="52"/>
        <v>114.8</v>
      </c>
      <c r="AX117">
        <f t="shared" si="53"/>
        <v>122.3</v>
      </c>
      <c r="AY117">
        <f t="shared" si="54"/>
        <v>119.7</v>
      </c>
      <c r="AZ117">
        <f t="shared" si="55"/>
        <v>108.5</v>
      </c>
      <c r="BA117">
        <f t="shared" si="56"/>
        <v>119.1</v>
      </c>
      <c r="BB117">
        <f t="shared" si="57"/>
        <v>126.4</v>
      </c>
      <c r="BC117">
        <f t="shared" si="58"/>
        <v>117.1</v>
      </c>
      <c r="BD117">
        <f t="shared" si="59"/>
        <v>117.3</v>
      </c>
      <c r="BE117">
        <f t="shared" si="60"/>
        <v>123.8</v>
      </c>
      <c r="BF117">
        <f t="shared" si="61"/>
        <v>1667.6000000000001</v>
      </c>
      <c r="BG117">
        <f t="shared" si="62"/>
        <v>372.2</v>
      </c>
      <c r="BH117">
        <f t="shared" si="63"/>
        <v>236.8</v>
      </c>
      <c r="BI117">
        <f t="shared" si="64"/>
        <v>373.6</v>
      </c>
      <c r="BJ117">
        <f t="shared" si="65"/>
        <v>377</v>
      </c>
      <c r="BK117">
        <f t="shared" si="66"/>
        <v>223.3</v>
      </c>
    </row>
    <row r="118" spans="1:63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f t="shared" si="34"/>
        <v>126.5</v>
      </c>
      <c r="AF118">
        <f t="shared" si="35"/>
        <v>135.1</v>
      </c>
      <c r="AG118">
        <f t="shared" si="36"/>
        <v>124.6</v>
      </c>
      <c r="AH118">
        <f t="shared" si="37"/>
        <v>130.19999999999999</v>
      </c>
      <c r="AI118">
        <f t="shared" si="38"/>
        <v>114.5</v>
      </c>
      <c r="AJ118">
        <f t="shared" si="39"/>
        <v>126.2</v>
      </c>
      <c r="AK118">
        <f t="shared" si="40"/>
        <v>129.80000000000001</v>
      </c>
      <c r="AL118">
        <f t="shared" si="41"/>
        <v>164.3</v>
      </c>
      <c r="AM118">
        <f t="shared" si="42"/>
        <v>100.9</v>
      </c>
      <c r="AN118">
        <f t="shared" si="43"/>
        <v>133.9</v>
      </c>
      <c r="AO118">
        <f t="shared" si="44"/>
        <v>123.1</v>
      </c>
      <c r="AP118">
        <f t="shared" si="45"/>
        <v>136.30000000000001</v>
      </c>
      <c r="AQ118">
        <f t="shared" si="46"/>
        <v>129.80000000000001</v>
      </c>
      <c r="AR118">
        <f t="shared" si="47"/>
        <v>136.5</v>
      </c>
      <c r="AS118">
        <f t="shared" si="48"/>
        <v>131.30000000000001</v>
      </c>
      <c r="AT118">
        <f t="shared" si="49"/>
        <v>126.1</v>
      </c>
      <c r="AU118">
        <f t="shared" si="50"/>
        <v>130.5</v>
      </c>
      <c r="AV118">
        <f t="shared" si="51"/>
        <v>124.9</v>
      </c>
      <c r="AW118">
        <f t="shared" si="52"/>
        <v>122.4</v>
      </c>
      <c r="AX118">
        <f t="shared" si="53"/>
        <v>125.1</v>
      </c>
      <c r="AY118">
        <f t="shared" si="54"/>
        <v>122.9</v>
      </c>
      <c r="AZ118">
        <f t="shared" si="55"/>
        <v>110.9</v>
      </c>
      <c r="BA118">
        <f t="shared" si="56"/>
        <v>120.6</v>
      </c>
      <c r="BB118">
        <f t="shared" si="57"/>
        <v>126.9</v>
      </c>
      <c r="BC118">
        <f t="shared" si="58"/>
        <v>117.3</v>
      </c>
      <c r="BD118">
        <f t="shared" si="59"/>
        <v>119.3</v>
      </c>
      <c r="BE118">
        <f t="shared" si="60"/>
        <v>126</v>
      </c>
      <c r="BF118">
        <f t="shared" si="61"/>
        <v>1675.2</v>
      </c>
      <c r="BG118">
        <f t="shared" si="62"/>
        <v>387.9</v>
      </c>
      <c r="BH118">
        <f t="shared" si="63"/>
        <v>240.2</v>
      </c>
      <c r="BI118">
        <f t="shared" si="64"/>
        <v>376.9</v>
      </c>
      <c r="BJ118">
        <f t="shared" si="65"/>
        <v>376.40000000000003</v>
      </c>
      <c r="BK118">
        <f t="shared" si="66"/>
        <v>233.3</v>
      </c>
    </row>
    <row r="119" spans="1:63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f t="shared" si="34"/>
        <v>127.4</v>
      </c>
      <c r="AF119">
        <f t="shared" si="35"/>
        <v>135.4</v>
      </c>
      <c r="AG119">
        <f t="shared" si="36"/>
        <v>123.4</v>
      </c>
      <c r="AH119">
        <f t="shared" si="37"/>
        <v>131.30000000000001</v>
      </c>
      <c r="AI119">
        <f t="shared" si="38"/>
        <v>118.2</v>
      </c>
      <c r="AJ119">
        <f t="shared" si="39"/>
        <v>138.1</v>
      </c>
      <c r="AK119">
        <f t="shared" si="40"/>
        <v>134.1</v>
      </c>
      <c r="AL119">
        <f t="shared" si="41"/>
        <v>162.69999999999999</v>
      </c>
      <c r="AM119">
        <f t="shared" si="42"/>
        <v>105</v>
      </c>
      <c r="AN119">
        <f t="shared" si="43"/>
        <v>131.4</v>
      </c>
      <c r="AO119">
        <f t="shared" si="44"/>
        <v>125.4</v>
      </c>
      <c r="AP119">
        <f t="shared" si="45"/>
        <v>137.4</v>
      </c>
      <c r="AQ119">
        <f t="shared" si="46"/>
        <v>131.80000000000001</v>
      </c>
      <c r="AR119">
        <f t="shared" si="47"/>
        <v>135.5</v>
      </c>
      <c r="AS119">
        <f t="shared" si="48"/>
        <v>135</v>
      </c>
      <c r="AT119">
        <f t="shared" si="49"/>
        <v>130.6</v>
      </c>
      <c r="AU119">
        <f t="shared" si="50"/>
        <v>134.4</v>
      </c>
      <c r="AV119">
        <f t="shared" si="51"/>
        <v>125.6</v>
      </c>
      <c r="AW119">
        <f t="shared" si="52"/>
        <v>127</v>
      </c>
      <c r="AX119">
        <f t="shared" si="53"/>
        <v>128</v>
      </c>
      <c r="AY119">
        <f t="shared" si="54"/>
        <v>125.2</v>
      </c>
      <c r="AZ119">
        <f t="shared" si="55"/>
        <v>114.4</v>
      </c>
      <c r="BA119">
        <f t="shared" si="56"/>
        <v>123.2</v>
      </c>
      <c r="BB119">
        <f t="shared" si="57"/>
        <v>127.9</v>
      </c>
      <c r="BC119">
        <f t="shared" si="58"/>
        <v>118.4</v>
      </c>
      <c r="BD119">
        <f t="shared" si="59"/>
        <v>121.7</v>
      </c>
      <c r="BE119">
        <f t="shared" si="60"/>
        <v>129</v>
      </c>
      <c r="BF119">
        <f t="shared" si="61"/>
        <v>1701.6000000000004</v>
      </c>
      <c r="BG119">
        <f t="shared" si="62"/>
        <v>400</v>
      </c>
      <c r="BH119">
        <f t="shared" si="63"/>
        <v>243.60000000000002</v>
      </c>
      <c r="BI119">
        <f t="shared" si="64"/>
        <v>381.5</v>
      </c>
      <c r="BJ119">
        <f t="shared" si="65"/>
        <v>380.4</v>
      </c>
      <c r="BK119">
        <f t="shared" si="66"/>
        <v>241.4</v>
      </c>
    </row>
    <row r="120" spans="1:63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f t="shared" si="34"/>
        <v>124.9</v>
      </c>
      <c r="AF120">
        <f t="shared" si="35"/>
        <v>139.30000000000001</v>
      </c>
      <c r="AG120">
        <f t="shared" si="36"/>
        <v>119.9</v>
      </c>
      <c r="AH120">
        <f t="shared" si="37"/>
        <v>130.19999999999999</v>
      </c>
      <c r="AI120">
        <f t="shared" si="38"/>
        <v>108.9</v>
      </c>
      <c r="AJ120">
        <f t="shared" si="39"/>
        <v>131.1</v>
      </c>
      <c r="AK120">
        <f t="shared" si="40"/>
        <v>136.80000000000001</v>
      </c>
      <c r="AL120">
        <f t="shared" si="41"/>
        <v>176.9</v>
      </c>
      <c r="AM120">
        <f t="shared" si="42"/>
        <v>109.1</v>
      </c>
      <c r="AN120">
        <f t="shared" si="43"/>
        <v>140.4</v>
      </c>
      <c r="AO120">
        <f t="shared" si="44"/>
        <v>121.1</v>
      </c>
      <c r="AP120">
        <f t="shared" si="45"/>
        <v>135.9</v>
      </c>
      <c r="AQ120">
        <f t="shared" si="46"/>
        <v>131.80000000000001</v>
      </c>
      <c r="AR120">
        <f t="shared" si="47"/>
        <v>141.5</v>
      </c>
      <c r="AS120">
        <f t="shared" si="48"/>
        <v>126.8</v>
      </c>
      <c r="AT120">
        <f t="shared" si="49"/>
        <v>120.5</v>
      </c>
      <c r="AU120">
        <f t="shared" si="50"/>
        <v>125.8</v>
      </c>
      <c r="AV120">
        <f t="shared" si="51"/>
        <v>125.6</v>
      </c>
      <c r="AW120">
        <f t="shared" si="52"/>
        <v>114.6</v>
      </c>
      <c r="AX120">
        <f t="shared" si="53"/>
        <v>122.8</v>
      </c>
      <c r="AY120">
        <f t="shared" si="54"/>
        <v>120</v>
      </c>
      <c r="AZ120">
        <f t="shared" si="55"/>
        <v>110</v>
      </c>
      <c r="BA120">
        <f t="shared" si="56"/>
        <v>119.5</v>
      </c>
      <c r="BB120">
        <f t="shared" si="57"/>
        <v>127.6</v>
      </c>
      <c r="BC120">
        <f t="shared" si="58"/>
        <v>117.6</v>
      </c>
      <c r="BD120">
        <f t="shared" si="59"/>
        <v>118.2</v>
      </c>
      <c r="BE120">
        <f t="shared" si="60"/>
        <v>125.3</v>
      </c>
      <c r="BF120">
        <f t="shared" si="61"/>
        <v>1706.3</v>
      </c>
      <c r="BG120">
        <f t="shared" si="62"/>
        <v>373.1</v>
      </c>
      <c r="BH120">
        <f t="shared" si="63"/>
        <v>237.6</v>
      </c>
      <c r="BI120">
        <f t="shared" si="64"/>
        <v>376</v>
      </c>
      <c r="BJ120">
        <f t="shared" si="65"/>
        <v>379.2</v>
      </c>
      <c r="BK120">
        <f t="shared" si="66"/>
        <v>224.6</v>
      </c>
    </row>
    <row r="121" spans="1:63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f t="shared" si="34"/>
        <v>126.6</v>
      </c>
      <c r="AF121">
        <f t="shared" si="35"/>
        <v>136.80000000000001</v>
      </c>
      <c r="AG121">
        <f t="shared" si="36"/>
        <v>122</v>
      </c>
      <c r="AH121">
        <f t="shared" si="37"/>
        <v>130.9</v>
      </c>
      <c r="AI121">
        <f t="shared" si="38"/>
        <v>114.8</v>
      </c>
      <c r="AJ121">
        <f t="shared" si="39"/>
        <v>134.80000000000001</v>
      </c>
      <c r="AK121">
        <f t="shared" si="40"/>
        <v>135</v>
      </c>
      <c r="AL121">
        <f t="shared" si="41"/>
        <v>167.5</v>
      </c>
      <c r="AM121">
        <f t="shared" si="42"/>
        <v>106.4</v>
      </c>
      <c r="AN121">
        <f t="shared" si="43"/>
        <v>134.4</v>
      </c>
      <c r="AO121">
        <f t="shared" si="44"/>
        <v>123.6</v>
      </c>
      <c r="AP121">
        <f t="shared" si="45"/>
        <v>136.69999999999999</v>
      </c>
      <c r="AQ121">
        <f t="shared" si="46"/>
        <v>131.80000000000001</v>
      </c>
      <c r="AR121">
        <f t="shared" si="47"/>
        <v>137.1</v>
      </c>
      <c r="AS121">
        <f t="shared" si="48"/>
        <v>131.80000000000001</v>
      </c>
      <c r="AT121">
        <f t="shared" si="49"/>
        <v>126.4</v>
      </c>
      <c r="AU121">
        <f t="shared" si="50"/>
        <v>131</v>
      </c>
      <c r="AV121">
        <f t="shared" si="51"/>
        <v>125.6</v>
      </c>
      <c r="AW121">
        <f t="shared" si="52"/>
        <v>122.3</v>
      </c>
      <c r="AX121">
        <f t="shared" si="53"/>
        <v>125.5</v>
      </c>
      <c r="AY121">
        <f t="shared" si="54"/>
        <v>123.2</v>
      </c>
      <c r="AZ121">
        <f t="shared" si="55"/>
        <v>112.1</v>
      </c>
      <c r="BA121">
        <f t="shared" si="56"/>
        <v>121.1</v>
      </c>
      <c r="BB121">
        <f t="shared" si="57"/>
        <v>127.7</v>
      </c>
      <c r="BC121">
        <f t="shared" si="58"/>
        <v>118.1</v>
      </c>
      <c r="BD121">
        <f t="shared" si="59"/>
        <v>120</v>
      </c>
      <c r="BE121">
        <f t="shared" si="60"/>
        <v>127.3</v>
      </c>
      <c r="BF121">
        <f t="shared" si="61"/>
        <v>1701.3</v>
      </c>
      <c r="BG121">
        <f t="shared" si="62"/>
        <v>389.20000000000005</v>
      </c>
      <c r="BH121">
        <f t="shared" si="63"/>
        <v>241.3</v>
      </c>
      <c r="BI121">
        <f t="shared" si="64"/>
        <v>378.79999999999995</v>
      </c>
      <c r="BJ121">
        <f t="shared" si="65"/>
        <v>378.2</v>
      </c>
      <c r="BK121">
        <f t="shared" si="66"/>
        <v>234.39999999999998</v>
      </c>
    </row>
    <row r="122" spans="1:63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f t="shared" si="34"/>
        <v>127.6</v>
      </c>
      <c r="AF122">
        <f t="shared" si="35"/>
        <v>137.5</v>
      </c>
      <c r="AG122">
        <f t="shared" si="36"/>
        <v>124.4</v>
      </c>
      <c r="AH122">
        <f t="shared" si="37"/>
        <v>132.4</v>
      </c>
      <c r="AI122">
        <f t="shared" si="38"/>
        <v>118.2</v>
      </c>
      <c r="AJ122">
        <f t="shared" si="39"/>
        <v>138.1</v>
      </c>
      <c r="AK122">
        <f t="shared" si="40"/>
        <v>141.80000000000001</v>
      </c>
      <c r="AL122">
        <f t="shared" si="41"/>
        <v>166</v>
      </c>
      <c r="AM122">
        <f t="shared" si="42"/>
        <v>107.5</v>
      </c>
      <c r="AN122">
        <f t="shared" si="43"/>
        <v>132.19999999999999</v>
      </c>
      <c r="AO122">
        <f t="shared" si="44"/>
        <v>126.1</v>
      </c>
      <c r="AP122">
        <f t="shared" si="45"/>
        <v>138.30000000000001</v>
      </c>
      <c r="AQ122">
        <f t="shared" si="46"/>
        <v>133.6</v>
      </c>
      <c r="AR122">
        <f t="shared" si="47"/>
        <v>136</v>
      </c>
      <c r="AS122">
        <f t="shared" si="48"/>
        <v>135.4</v>
      </c>
      <c r="AT122">
        <f t="shared" si="49"/>
        <v>131.1</v>
      </c>
      <c r="AU122">
        <f t="shared" si="50"/>
        <v>134.80000000000001</v>
      </c>
      <c r="AV122">
        <f t="shared" si="51"/>
        <v>126</v>
      </c>
      <c r="AW122">
        <f t="shared" si="52"/>
        <v>127.4</v>
      </c>
      <c r="AX122">
        <f t="shared" si="53"/>
        <v>128.5</v>
      </c>
      <c r="AY122">
        <f t="shared" si="54"/>
        <v>125.8</v>
      </c>
      <c r="AZ122">
        <f t="shared" si="55"/>
        <v>115.1</v>
      </c>
      <c r="BA122">
        <f t="shared" si="56"/>
        <v>123.6</v>
      </c>
      <c r="BB122">
        <f t="shared" si="57"/>
        <v>129.1</v>
      </c>
      <c r="BC122">
        <f t="shared" si="58"/>
        <v>119.7</v>
      </c>
      <c r="BD122">
        <f t="shared" si="59"/>
        <v>122.5</v>
      </c>
      <c r="BE122">
        <f t="shared" si="60"/>
        <v>130.30000000000001</v>
      </c>
      <c r="BF122">
        <f t="shared" si="61"/>
        <v>1723.6999999999998</v>
      </c>
      <c r="BG122">
        <f t="shared" si="62"/>
        <v>401.3</v>
      </c>
      <c r="BH122">
        <f t="shared" si="63"/>
        <v>245.5</v>
      </c>
      <c r="BI122">
        <f t="shared" si="64"/>
        <v>383.6</v>
      </c>
      <c r="BJ122">
        <f t="shared" si="65"/>
        <v>382.1</v>
      </c>
      <c r="BK122">
        <f t="shared" si="66"/>
        <v>242.5</v>
      </c>
    </row>
    <row r="123" spans="1:63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f t="shared" si="34"/>
        <v>125</v>
      </c>
      <c r="AF123">
        <f t="shared" si="35"/>
        <v>142.1</v>
      </c>
      <c r="AG123">
        <f t="shared" si="36"/>
        <v>127</v>
      </c>
      <c r="AH123">
        <f t="shared" si="37"/>
        <v>130.4</v>
      </c>
      <c r="AI123">
        <f t="shared" si="38"/>
        <v>109.6</v>
      </c>
      <c r="AJ123">
        <f t="shared" si="39"/>
        <v>133.5</v>
      </c>
      <c r="AK123">
        <f t="shared" si="40"/>
        <v>151.4</v>
      </c>
      <c r="AL123">
        <f t="shared" si="41"/>
        <v>182.8</v>
      </c>
      <c r="AM123">
        <f t="shared" si="42"/>
        <v>111.1</v>
      </c>
      <c r="AN123">
        <f t="shared" si="43"/>
        <v>141.5</v>
      </c>
      <c r="AO123">
        <f t="shared" si="44"/>
        <v>121.5</v>
      </c>
      <c r="AP123">
        <f t="shared" si="45"/>
        <v>136.30000000000001</v>
      </c>
      <c r="AQ123">
        <f t="shared" si="46"/>
        <v>134.6</v>
      </c>
      <c r="AR123">
        <f t="shared" si="47"/>
        <v>142.19999999999999</v>
      </c>
      <c r="AS123">
        <f t="shared" si="48"/>
        <v>127.2</v>
      </c>
      <c r="AT123">
        <f t="shared" si="49"/>
        <v>120.7</v>
      </c>
      <c r="AU123">
        <f t="shared" si="50"/>
        <v>126.2</v>
      </c>
      <c r="AV123">
        <f t="shared" si="51"/>
        <v>126</v>
      </c>
      <c r="AW123">
        <f t="shared" si="52"/>
        <v>115</v>
      </c>
      <c r="AX123">
        <f t="shared" si="53"/>
        <v>123.2</v>
      </c>
      <c r="AY123">
        <f t="shared" si="54"/>
        <v>120.3</v>
      </c>
      <c r="AZ123">
        <f t="shared" si="55"/>
        <v>110.7</v>
      </c>
      <c r="BA123">
        <f t="shared" si="56"/>
        <v>119.8</v>
      </c>
      <c r="BB123">
        <f t="shared" si="57"/>
        <v>128</v>
      </c>
      <c r="BC123">
        <f t="shared" si="58"/>
        <v>118.5</v>
      </c>
      <c r="BD123">
        <f t="shared" si="59"/>
        <v>118.7</v>
      </c>
      <c r="BE123">
        <f t="shared" si="60"/>
        <v>126.6</v>
      </c>
      <c r="BF123">
        <f t="shared" si="61"/>
        <v>1746.7999999999997</v>
      </c>
      <c r="BG123">
        <f t="shared" si="62"/>
        <v>374.1</v>
      </c>
      <c r="BH123">
        <f t="shared" si="63"/>
        <v>238.8</v>
      </c>
      <c r="BI123">
        <f t="shared" si="64"/>
        <v>377.2</v>
      </c>
      <c r="BJ123">
        <f t="shared" si="65"/>
        <v>380.7</v>
      </c>
      <c r="BK123">
        <f t="shared" si="66"/>
        <v>225.7</v>
      </c>
    </row>
    <row r="124" spans="1:63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f t="shared" si="34"/>
        <v>126.8</v>
      </c>
      <c r="AF124">
        <f t="shared" si="35"/>
        <v>139.1</v>
      </c>
      <c r="AG124">
        <f t="shared" si="36"/>
        <v>125.4</v>
      </c>
      <c r="AH124">
        <f t="shared" si="37"/>
        <v>131.69999999999999</v>
      </c>
      <c r="AI124">
        <f t="shared" si="38"/>
        <v>115</v>
      </c>
      <c r="AJ124">
        <f t="shared" si="39"/>
        <v>136</v>
      </c>
      <c r="AK124">
        <f t="shared" si="40"/>
        <v>145.1</v>
      </c>
      <c r="AL124">
        <f t="shared" si="41"/>
        <v>171.7</v>
      </c>
      <c r="AM124">
        <f t="shared" si="42"/>
        <v>108.7</v>
      </c>
      <c r="AN124">
        <f t="shared" si="43"/>
        <v>135.30000000000001</v>
      </c>
      <c r="AO124">
        <f t="shared" si="44"/>
        <v>124.2</v>
      </c>
      <c r="AP124">
        <f t="shared" si="45"/>
        <v>137.4</v>
      </c>
      <c r="AQ124">
        <f t="shared" si="46"/>
        <v>134</v>
      </c>
      <c r="AR124">
        <f t="shared" si="47"/>
        <v>137.69999999999999</v>
      </c>
      <c r="AS124">
        <f t="shared" si="48"/>
        <v>132.19999999999999</v>
      </c>
      <c r="AT124">
        <f t="shared" si="49"/>
        <v>126.8</v>
      </c>
      <c r="AU124">
        <f t="shared" si="50"/>
        <v>131.4</v>
      </c>
      <c r="AV124">
        <f t="shared" si="51"/>
        <v>126</v>
      </c>
      <c r="AW124">
        <f t="shared" si="52"/>
        <v>122.7</v>
      </c>
      <c r="AX124">
        <f t="shared" si="53"/>
        <v>126</v>
      </c>
      <c r="AY124">
        <f t="shared" si="54"/>
        <v>123.7</v>
      </c>
      <c r="AZ124">
        <f t="shared" si="55"/>
        <v>112.8</v>
      </c>
      <c r="BA124">
        <f t="shared" si="56"/>
        <v>121.5</v>
      </c>
      <c r="BB124">
        <f t="shared" si="57"/>
        <v>128.5</v>
      </c>
      <c r="BC124">
        <f t="shared" si="58"/>
        <v>119.2</v>
      </c>
      <c r="BD124">
        <f t="shared" si="59"/>
        <v>120.7</v>
      </c>
      <c r="BE124">
        <f t="shared" si="60"/>
        <v>128.6</v>
      </c>
      <c r="BF124">
        <f t="shared" si="61"/>
        <v>1730.4</v>
      </c>
      <c r="BG124">
        <f t="shared" si="62"/>
        <v>390.4</v>
      </c>
      <c r="BH124">
        <f t="shared" si="63"/>
        <v>242.9</v>
      </c>
      <c r="BI124">
        <f t="shared" si="64"/>
        <v>380.5</v>
      </c>
      <c r="BJ124">
        <f t="shared" si="65"/>
        <v>379.9</v>
      </c>
      <c r="BK124">
        <f t="shared" si="66"/>
        <v>235.5</v>
      </c>
    </row>
    <row r="125" spans="1:63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f t="shared" si="34"/>
        <v>128.6</v>
      </c>
      <c r="AF125">
        <f t="shared" si="35"/>
        <v>138.6</v>
      </c>
      <c r="AG125">
        <f t="shared" si="36"/>
        <v>126.6</v>
      </c>
      <c r="AH125">
        <f t="shared" si="37"/>
        <v>133.6</v>
      </c>
      <c r="AI125">
        <f t="shared" si="38"/>
        <v>118.6</v>
      </c>
      <c r="AJ125">
        <f t="shared" si="39"/>
        <v>137.4</v>
      </c>
      <c r="AK125">
        <f t="shared" si="40"/>
        <v>152.5</v>
      </c>
      <c r="AL125">
        <f t="shared" si="41"/>
        <v>169.2</v>
      </c>
      <c r="AM125">
        <f t="shared" si="42"/>
        <v>108.8</v>
      </c>
      <c r="AN125">
        <f t="shared" si="43"/>
        <v>133.1</v>
      </c>
      <c r="AO125">
        <f t="shared" si="44"/>
        <v>126.4</v>
      </c>
      <c r="AP125">
        <f t="shared" si="45"/>
        <v>139.19999999999999</v>
      </c>
      <c r="AQ125">
        <f t="shared" si="46"/>
        <v>136</v>
      </c>
      <c r="AR125">
        <f t="shared" si="47"/>
        <v>137.19999999999999</v>
      </c>
      <c r="AS125">
        <f t="shared" si="48"/>
        <v>136.30000000000001</v>
      </c>
      <c r="AT125">
        <f t="shared" si="49"/>
        <v>131.6</v>
      </c>
      <c r="AU125">
        <f t="shared" si="50"/>
        <v>135.6</v>
      </c>
      <c r="AV125">
        <f t="shared" si="51"/>
        <v>125.5</v>
      </c>
      <c r="AW125">
        <f t="shared" si="52"/>
        <v>128</v>
      </c>
      <c r="AX125">
        <f t="shared" si="53"/>
        <v>129.30000000000001</v>
      </c>
      <c r="AY125">
        <f t="shared" si="54"/>
        <v>126.2</v>
      </c>
      <c r="AZ125">
        <f t="shared" si="55"/>
        <v>116.3</v>
      </c>
      <c r="BA125">
        <f t="shared" si="56"/>
        <v>124.1</v>
      </c>
      <c r="BB125">
        <f t="shared" si="57"/>
        <v>130.19999999999999</v>
      </c>
      <c r="BC125">
        <f t="shared" si="58"/>
        <v>119.9</v>
      </c>
      <c r="BD125">
        <f t="shared" si="59"/>
        <v>123.3</v>
      </c>
      <c r="BE125">
        <f t="shared" si="60"/>
        <v>131.9</v>
      </c>
      <c r="BF125">
        <f t="shared" si="61"/>
        <v>1748.6</v>
      </c>
      <c r="BG125">
        <f t="shared" si="62"/>
        <v>403.5</v>
      </c>
      <c r="BH125">
        <f t="shared" si="63"/>
        <v>246.10000000000002</v>
      </c>
      <c r="BI125">
        <f t="shared" si="64"/>
        <v>385</v>
      </c>
      <c r="BJ125">
        <f t="shared" si="65"/>
        <v>384.59999999999997</v>
      </c>
      <c r="BK125">
        <f t="shared" si="66"/>
        <v>244.3</v>
      </c>
    </row>
    <row r="126" spans="1:63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f t="shared" si="34"/>
        <v>125.9</v>
      </c>
      <c r="AF126">
        <f t="shared" si="35"/>
        <v>143.9</v>
      </c>
      <c r="AG126">
        <f t="shared" si="36"/>
        <v>130.9</v>
      </c>
      <c r="AH126">
        <f t="shared" si="37"/>
        <v>131</v>
      </c>
      <c r="AI126">
        <f t="shared" si="38"/>
        <v>110.2</v>
      </c>
      <c r="AJ126">
        <f t="shared" si="39"/>
        <v>135.5</v>
      </c>
      <c r="AK126">
        <f t="shared" si="40"/>
        <v>173.7</v>
      </c>
      <c r="AL126">
        <f t="shared" si="41"/>
        <v>184.4</v>
      </c>
      <c r="AM126">
        <f t="shared" si="42"/>
        <v>112</v>
      </c>
      <c r="AN126">
        <f t="shared" si="43"/>
        <v>142.80000000000001</v>
      </c>
      <c r="AO126">
        <f t="shared" si="44"/>
        <v>121.6</v>
      </c>
      <c r="AP126">
        <f t="shared" si="45"/>
        <v>136.9</v>
      </c>
      <c r="AQ126">
        <f t="shared" si="46"/>
        <v>138.19999999999999</v>
      </c>
      <c r="AR126">
        <f t="shared" si="47"/>
        <v>142.69999999999999</v>
      </c>
      <c r="AS126">
        <f t="shared" si="48"/>
        <v>127.6</v>
      </c>
      <c r="AT126">
        <f t="shared" si="49"/>
        <v>121.1</v>
      </c>
      <c r="AU126">
        <f t="shared" si="50"/>
        <v>126.6</v>
      </c>
      <c r="AV126">
        <f t="shared" si="51"/>
        <v>125.5</v>
      </c>
      <c r="AW126">
        <f t="shared" si="52"/>
        <v>115.5</v>
      </c>
      <c r="AX126">
        <f t="shared" si="53"/>
        <v>123.2</v>
      </c>
      <c r="AY126">
        <f t="shared" si="54"/>
        <v>120.6</v>
      </c>
      <c r="AZ126">
        <f t="shared" si="55"/>
        <v>112.3</v>
      </c>
      <c r="BA126">
        <f t="shared" si="56"/>
        <v>119.9</v>
      </c>
      <c r="BB126">
        <f t="shared" si="57"/>
        <v>129.30000000000001</v>
      </c>
      <c r="BC126">
        <f t="shared" si="58"/>
        <v>118.8</v>
      </c>
      <c r="BD126">
        <f t="shared" si="59"/>
        <v>119.6</v>
      </c>
      <c r="BE126">
        <f t="shared" si="60"/>
        <v>128.1</v>
      </c>
      <c r="BF126">
        <f t="shared" si="61"/>
        <v>1787.0000000000002</v>
      </c>
      <c r="BG126">
        <f t="shared" si="62"/>
        <v>375.29999999999995</v>
      </c>
      <c r="BH126">
        <f t="shared" si="63"/>
        <v>239.39999999999998</v>
      </c>
      <c r="BI126">
        <f t="shared" si="64"/>
        <v>378</v>
      </c>
      <c r="BJ126">
        <f t="shared" si="65"/>
        <v>382.20000000000005</v>
      </c>
      <c r="BK126">
        <f t="shared" si="66"/>
        <v>227.8</v>
      </c>
    </row>
    <row r="127" spans="1:63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f t="shared" si="34"/>
        <v>127.7</v>
      </c>
      <c r="AF127">
        <f t="shared" si="35"/>
        <v>140.5</v>
      </c>
      <c r="AG127">
        <f t="shared" si="36"/>
        <v>128.30000000000001</v>
      </c>
      <c r="AH127">
        <f t="shared" si="37"/>
        <v>132.6</v>
      </c>
      <c r="AI127">
        <f t="shared" si="38"/>
        <v>115.5</v>
      </c>
      <c r="AJ127">
        <f t="shared" si="39"/>
        <v>136.5</v>
      </c>
      <c r="AK127">
        <f t="shared" si="40"/>
        <v>159.69999999999999</v>
      </c>
      <c r="AL127">
        <f t="shared" si="41"/>
        <v>174.3</v>
      </c>
      <c r="AM127">
        <f t="shared" si="42"/>
        <v>109.9</v>
      </c>
      <c r="AN127">
        <f t="shared" si="43"/>
        <v>136.30000000000001</v>
      </c>
      <c r="AO127">
        <f t="shared" si="44"/>
        <v>124.4</v>
      </c>
      <c r="AP127">
        <f t="shared" si="45"/>
        <v>138.1</v>
      </c>
      <c r="AQ127">
        <f t="shared" si="46"/>
        <v>136.80000000000001</v>
      </c>
      <c r="AR127">
        <f t="shared" si="47"/>
        <v>138.69999999999999</v>
      </c>
      <c r="AS127">
        <f t="shared" si="48"/>
        <v>132.9</v>
      </c>
      <c r="AT127">
        <f t="shared" si="49"/>
        <v>127.2</v>
      </c>
      <c r="AU127">
        <f t="shared" si="50"/>
        <v>132</v>
      </c>
      <c r="AV127">
        <f t="shared" si="51"/>
        <v>125.5</v>
      </c>
      <c r="AW127">
        <f t="shared" si="52"/>
        <v>123.3</v>
      </c>
      <c r="AX127">
        <f t="shared" si="53"/>
        <v>126.4</v>
      </c>
      <c r="AY127">
        <f t="shared" si="54"/>
        <v>124.1</v>
      </c>
      <c r="AZ127">
        <f t="shared" si="55"/>
        <v>114.2</v>
      </c>
      <c r="BA127">
        <f t="shared" si="56"/>
        <v>121.7</v>
      </c>
      <c r="BB127">
        <f t="shared" si="57"/>
        <v>129.69999999999999</v>
      </c>
      <c r="BC127">
        <f t="shared" si="58"/>
        <v>119.4</v>
      </c>
      <c r="BD127">
        <f t="shared" si="59"/>
        <v>121.5</v>
      </c>
      <c r="BE127">
        <f t="shared" si="60"/>
        <v>130.1</v>
      </c>
      <c r="BF127">
        <f t="shared" si="61"/>
        <v>1760.6</v>
      </c>
      <c r="BG127">
        <f t="shared" si="62"/>
        <v>392.1</v>
      </c>
      <c r="BH127">
        <f t="shared" si="63"/>
        <v>243.5</v>
      </c>
      <c r="BI127">
        <f t="shared" si="64"/>
        <v>381.6</v>
      </c>
      <c r="BJ127">
        <f t="shared" si="65"/>
        <v>381.9</v>
      </c>
      <c r="BK127">
        <f t="shared" si="66"/>
        <v>237.5</v>
      </c>
    </row>
    <row r="128" spans="1:63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f t="shared" si="34"/>
        <v>129.30000000000001</v>
      </c>
      <c r="AF128">
        <f t="shared" si="35"/>
        <v>139.5</v>
      </c>
      <c r="AG128">
        <f t="shared" si="36"/>
        <v>129.6</v>
      </c>
      <c r="AH128">
        <f t="shared" si="37"/>
        <v>134.5</v>
      </c>
      <c r="AI128">
        <f t="shared" si="38"/>
        <v>119.5</v>
      </c>
      <c r="AJ128">
        <f t="shared" si="39"/>
        <v>138.5</v>
      </c>
      <c r="AK128">
        <f t="shared" si="40"/>
        <v>158.19999999999999</v>
      </c>
      <c r="AL128">
        <f t="shared" si="41"/>
        <v>171.8</v>
      </c>
      <c r="AM128">
        <f t="shared" si="42"/>
        <v>110.3</v>
      </c>
      <c r="AN128">
        <f t="shared" si="43"/>
        <v>134.30000000000001</v>
      </c>
      <c r="AO128">
        <f t="shared" si="44"/>
        <v>127.3</v>
      </c>
      <c r="AP128">
        <f t="shared" si="45"/>
        <v>139.9</v>
      </c>
      <c r="AQ128">
        <f t="shared" si="46"/>
        <v>137.6</v>
      </c>
      <c r="AR128">
        <f t="shared" si="47"/>
        <v>138</v>
      </c>
      <c r="AS128">
        <f t="shared" si="48"/>
        <v>137.19999999999999</v>
      </c>
      <c r="AT128">
        <f t="shared" si="49"/>
        <v>132.19999999999999</v>
      </c>
      <c r="AU128">
        <f t="shared" si="50"/>
        <v>136.5</v>
      </c>
      <c r="AV128">
        <f t="shared" si="51"/>
        <v>126.4</v>
      </c>
      <c r="AW128">
        <f t="shared" si="52"/>
        <v>128.19999999999999</v>
      </c>
      <c r="AX128">
        <f t="shared" si="53"/>
        <v>130</v>
      </c>
      <c r="AY128">
        <f t="shared" si="54"/>
        <v>126.7</v>
      </c>
      <c r="AZ128">
        <f t="shared" si="55"/>
        <v>116.4</v>
      </c>
      <c r="BA128">
        <f t="shared" si="56"/>
        <v>125.2</v>
      </c>
      <c r="BB128">
        <f t="shared" si="57"/>
        <v>130.80000000000001</v>
      </c>
      <c r="BC128">
        <f t="shared" si="58"/>
        <v>120.9</v>
      </c>
      <c r="BD128">
        <f t="shared" si="59"/>
        <v>123.8</v>
      </c>
      <c r="BE128">
        <f t="shared" si="60"/>
        <v>133</v>
      </c>
      <c r="BF128">
        <f t="shared" si="61"/>
        <v>1770.2999999999997</v>
      </c>
      <c r="BG128">
        <f t="shared" si="62"/>
        <v>405.9</v>
      </c>
      <c r="BH128">
        <f t="shared" si="63"/>
        <v>247.60000000000002</v>
      </c>
      <c r="BI128">
        <f t="shared" si="64"/>
        <v>387.20000000000005</v>
      </c>
      <c r="BJ128">
        <f t="shared" si="65"/>
        <v>387</v>
      </c>
      <c r="BK128">
        <f t="shared" si="66"/>
        <v>244.6</v>
      </c>
    </row>
    <row r="129" spans="1:63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f t="shared" si="34"/>
        <v>126.8</v>
      </c>
      <c r="AF129">
        <f t="shared" si="35"/>
        <v>144.19999999999999</v>
      </c>
      <c r="AG129">
        <f t="shared" si="36"/>
        <v>136.6</v>
      </c>
      <c r="AH129">
        <f t="shared" si="37"/>
        <v>131.80000000000001</v>
      </c>
      <c r="AI129">
        <f t="shared" si="38"/>
        <v>111</v>
      </c>
      <c r="AJ129">
        <f t="shared" si="39"/>
        <v>137</v>
      </c>
      <c r="AK129">
        <f t="shared" si="40"/>
        <v>179.5</v>
      </c>
      <c r="AL129">
        <f t="shared" si="41"/>
        <v>188.4</v>
      </c>
      <c r="AM129">
        <f t="shared" si="42"/>
        <v>113.3</v>
      </c>
      <c r="AN129">
        <f t="shared" si="43"/>
        <v>143.9</v>
      </c>
      <c r="AO129">
        <f t="shared" si="44"/>
        <v>121.7</v>
      </c>
      <c r="AP129">
        <f t="shared" si="45"/>
        <v>137.5</v>
      </c>
      <c r="AQ129">
        <f t="shared" si="46"/>
        <v>139.80000000000001</v>
      </c>
      <c r="AR129">
        <f t="shared" si="47"/>
        <v>142.9</v>
      </c>
      <c r="AS129">
        <f t="shared" si="48"/>
        <v>127.9</v>
      </c>
      <c r="AT129">
        <f t="shared" si="49"/>
        <v>121.1</v>
      </c>
      <c r="AU129">
        <f t="shared" si="50"/>
        <v>126.9</v>
      </c>
      <c r="AV129">
        <f t="shared" si="51"/>
        <v>126.4</v>
      </c>
      <c r="AW129">
        <f t="shared" si="52"/>
        <v>115.5</v>
      </c>
      <c r="AX129">
        <f t="shared" si="53"/>
        <v>123.5</v>
      </c>
      <c r="AY129">
        <f t="shared" si="54"/>
        <v>120.9</v>
      </c>
      <c r="AZ129">
        <f t="shared" si="55"/>
        <v>111.7</v>
      </c>
      <c r="BA129">
        <f t="shared" si="56"/>
        <v>120.3</v>
      </c>
      <c r="BB129">
        <f t="shared" si="57"/>
        <v>130.80000000000001</v>
      </c>
      <c r="BC129">
        <f t="shared" si="58"/>
        <v>120</v>
      </c>
      <c r="BD129">
        <f t="shared" si="59"/>
        <v>119.9</v>
      </c>
      <c r="BE129">
        <f t="shared" si="60"/>
        <v>129</v>
      </c>
      <c r="BF129">
        <f t="shared" si="61"/>
        <v>1811.5000000000002</v>
      </c>
      <c r="BG129">
        <f t="shared" si="62"/>
        <v>375.9</v>
      </c>
      <c r="BH129">
        <f t="shared" si="63"/>
        <v>240.9</v>
      </c>
      <c r="BI129">
        <f t="shared" si="64"/>
        <v>380.70000000000005</v>
      </c>
      <c r="BJ129">
        <f t="shared" si="65"/>
        <v>383.1</v>
      </c>
      <c r="BK129">
        <f t="shared" si="66"/>
        <v>227.2</v>
      </c>
    </row>
    <row r="130" spans="1:63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f t="shared" si="34"/>
        <v>128.5</v>
      </c>
      <c r="AF130">
        <f t="shared" si="35"/>
        <v>141.19999999999999</v>
      </c>
      <c r="AG130">
        <f t="shared" si="36"/>
        <v>132.30000000000001</v>
      </c>
      <c r="AH130">
        <f t="shared" si="37"/>
        <v>133.5</v>
      </c>
      <c r="AI130">
        <f t="shared" si="38"/>
        <v>116.4</v>
      </c>
      <c r="AJ130">
        <f t="shared" si="39"/>
        <v>137.80000000000001</v>
      </c>
      <c r="AK130">
        <f t="shared" si="40"/>
        <v>165.4</v>
      </c>
      <c r="AL130">
        <f t="shared" si="41"/>
        <v>177.4</v>
      </c>
      <c r="AM130">
        <f t="shared" si="42"/>
        <v>111.3</v>
      </c>
      <c r="AN130">
        <f t="shared" si="43"/>
        <v>137.5</v>
      </c>
      <c r="AO130">
        <f t="shared" si="44"/>
        <v>125</v>
      </c>
      <c r="AP130">
        <f t="shared" si="45"/>
        <v>138.80000000000001</v>
      </c>
      <c r="AQ130">
        <f t="shared" si="46"/>
        <v>138.4</v>
      </c>
      <c r="AR130">
        <f t="shared" si="47"/>
        <v>139.30000000000001</v>
      </c>
      <c r="AS130">
        <f t="shared" si="48"/>
        <v>133.5</v>
      </c>
      <c r="AT130">
        <f t="shared" si="49"/>
        <v>127.6</v>
      </c>
      <c r="AU130">
        <f t="shared" si="50"/>
        <v>132.69999999999999</v>
      </c>
      <c r="AV130">
        <f t="shared" si="51"/>
        <v>126.4</v>
      </c>
      <c r="AW130">
        <f t="shared" si="52"/>
        <v>123.4</v>
      </c>
      <c r="AX130">
        <f t="shared" si="53"/>
        <v>126.9</v>
      </c>
      <c r="AY130">
        <f t="shared" si="54"/>
        <v>124.5</v>
      </c>
      <c r="AZ130">
        <f t="shared" si="55"/>
        <v>113.9</v>
      </c>
      <c r="BA130">
        <f t="shared" si="56"/>
        <v>122.4</v>
      </c>
      <c r="BB130">
        <f t="shared" si="57"/>
        <v>130.80000000000001</v>
      </c>
      <c r="BC130">
        <f t="shared" si="58"/>
        <v>120.5</v>
      </c>
      <c r="BD130">
        <f t="shared" si="59"/>
        <v>121.9</v>
      </c>
      <c r="BE130">
        <f t="shared" si="60"/>
        <v>131.1</v>
      </c>
      <c r="BF130">
        <f t="shared" si="61"/>
        <v>1783.5</v>
      </c>
      <c r="BG130">
        <f t="shared" si="62"/>
        <v>393.8</v>
      </c>
      <c r="BH130">
        <f t="shared" si="63"/>
        <v>245</v>
      </c>
      <c r="BI130">
        <f t="shared" si="64"/>
        <v>384.1</v>
      </c>
      <c r="BJ130">
        <f t="shared" si="65"/>
        <v>383.6</v>
      </c>
      <c r="BK130">
        <f t="shared" si="66"/>
        <v>237.3</v>
      </c>
    </row>
    <row r="131" spans="1:63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f t="shared" ref="AE131:AE194" si="67">D131</f>
        <v>130.1</v>
      </c>
      <c r="AF131">
        <f t="shared" ref="AF131:AF194" si="68">E131</f>
        <v>138.80000000000001</v>
      </c>
      <c r="AG131">
        <f t="shared" ref="AG131:AG194" si="69">F131</f>
        <v>130.30000000000001</v>
      </c>
      <c r="AH131">
        <f t="shared" ref="AH131:AH194" si="70">G131</f>
        <v>135.30000000000001</v>
      </c>
      <c r="AI131">
        <f t="shared" ref="AI131:AI194" si="71">H131</f>
        <v>119.9</v>
      </c>
      <c r="AJ131">
        <f t="shared" ref="AJ131:AJ194" si="72">I131</f>
        <v>140.19999999999999</v>
      </c>
      <c r="AK131">
        <f t="shared" ref="AK131:AK194" si="73">J131</f>
        <v>156.9</v>
      </c>
      <c r="AL131">
        <f t="shared" ref="AL131:AL194" si="74">K131</f>
        <v>172.2</v>
      </c>
      <c r="AM131">
        <f t="shared" ref="AM131:AM194" si="75">L131</f>
        <v>112.1</v>
      </c>
      <c r="AN131">
        <f t="shared" ref="AN131:AN194" si="76">M131</f>
        <v>134.9</v>
      </c>
      <c r="AO131">
        <f t="shared" ref="AO131:AO194" si="77">N131</f>
        <v>128.1</v>
      </c>
      <c r="AP131">
        <f t="shared" ref="AP131:AP194" si="78">O131</f>
        <v>140.69999999999999</v>
      </c>
      <c r="AQ131">
        <f t="shared" ref="AQ131:AQ194" si="79">P131</f>
        <v>138</v>
      </c>
      <c r="AR131">
        <f t="shared" ref="AR131:AR194" si="80">Q131</f>
        <v>138.9</v>
      </c>
      <c r="AS131">
        <f t="shared" ref="AS131:AS194" si="81">R131</f>
        <v>137.80000000000001</v>
      </c>
      <c r="AT131">
        <f t="shared" ref="AT131:AT194" si="82">S131</f>
        <v>133</v>
      </c>
      <c r="AU131">
        <f t="shared" ref="AU131:AU194" si="83">T131</f>
        <v>137.1</v>
      </c>
      <c r="AV131">
        <f t="shared" ref="AV131:AV194" si="84">IF(OR(U131="NA",U131="-"),AVERAGE(AV132:AV133),U131)</f>
        <v>127.3</v>
      </c>
      <c r="AW131">
        <f t="shared" ref="AW131:AW194" si="85">V131</f>
        <v>129.1</v>
      </c>
      <c r="AX131">
        <f t="shared" ref="AX131:AX194" si="86">W131</f>
        <v>130.6</v>
      </c>
      <c r="AY131">
        <f t="shared" ref="AY131:AY194" si="87">X131</f>
        <v>127</v>
      </c>
      <c r="AZ131">
        <f t="shared" ref="AZ131:AZ194" si="88">Y131</f>
        <v>116</v>
      </c>
      <c r="BA131">
        <f t="shared" ref="BA131:BA194" si="89">Z131</f>
        <v>125.5</v>
      </c>
      <c r="BB131">
        <f t="shared" ref="BB131:BB194" si="90">AA131</f>
        <v>131.9</v>
      </c>
      <c r="BC131">
        <f t="shared" ref="BC131:BC194" si="91">AB131</f>
        <v>122</v>
      </c>
      <c r="BD131">
        <f t="shared" ref="BD131:BD194" si="92">AC131</f>
        <v>124.2</v>
      </c>
      <c r="BE131">
        <f t="shared" ref="BE131:BE194" si="93">AD131</f>
        <v>133.5</v>
      </c>
      <c r="BF131">
        <f t="shared" ref="BF131:BF194" si="94">SUM(AE131:AQ131)</f>
        <v>1777.4999999999998</v>
      </c>
      <c r="BG131">
        <f t="shared" ref="BG131:BG194" si="95">SUM(AS131:AU131)</f>
        <v>407.9</v>
      </c>
      <c r="BH131">
        <f t="shared" ref="BH131:BH194" si="96">SUM(AY131+BC131)</f>
        <v>249</v>
      </c>
      <c r="BI131">
        <f t="shared" ref="BI131:BI194" si="97">BB131+AX131+AV131</f>
        <v>389.8</v>
      </c>
      <c r="BJ131">
        <f t="shared" ref="BJ131:BJ194" si="98">SUM(AR131+BA131+BD131)</f>
        <v>388.59999999999997</v>
      </c>
      <c r="BK131">
        <f t="shared" ref="BK131:BK194" si="99">AZ131+AW131</f>
        <v>245.1</v>
      </c>
    </row>
    <row r="132" spans="1:63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f t="shared" si="67"/>
        <v>127.6</v>
      </c>
      <c r="AF132">
        <f t="shared" si="68"/>
        <v>140.30000000000001</v>
      </c>
      <c r="AG132">
        <f t="shared" si="69"/>
        <v>133.69999999999999</v>
      </c>
      <c r="AH132">
        <f t="shared" si="70"/>
        <v>132.19999999999999</v>
      </c>
      <c r="AI132">
        <f t="shared" si="71"/>
        <v>111.8</v>
      </c>
      <c r="AJ132">
        <f t="shared" si="72"/>
        <v>135.80000000000001</v>
      </c>
      <c r="AK132">
        <f t="shared" si="73"/>
        <v>163.5</v>
      </c>
      <c r="AL132">
        <f t="shared" si="74"/>
        <v>182.3</v>
      </c>
      <c r="AM132">
        <f t="shared" si="75"/>
        <v>114.6</v>
      </c>
      <c r="AN132">
        <f t="shared" si="76"/>
        <v>144.6</v>
      </c>
      <c r="AO132">
        <f t="shared" si="77"/>
        <v>121.9</v>
      </c>
      <c r="AP132">
        <f t="shared" si="78"/>
        <v>138.1</v>
      </c>
      <c r="AQ132">
        <f t="shared" si="79"/>
        <v>137.6</v>
      </c>
      <c r="AR132">
        <f t="shared" si="80"/>
        <v>143.6</v>
      </c>
      <c r="AS132">
        <f t="shared" si="81"/>
        <v>128.30000000000001</v>
      </c>
      <c r="AT132">
        <f t="shared" si="82"/>
        <v>121.4</v>
      </c>
      <c r="AU132">
        <f t="shared" si="83"/>
        <v>127.3</v>
      </c>
      <c r="AV132">
        <f t="shared" si="84"/>
        <v>127.3</v>
      </c>
      <c r="AW132">
        <f t="shared" si="85"/>
        <v>114.7</v>
      </c>
      <c r="AX132">
        <f t="shared" si="86"/>
        <v>123.9</v>
      </c>
      <c r="AY132">
        <f t="shared" si="87"/>
        <v>121.2</v>
      </c>
      <c r="AZ132">
        <f t="shared" si="88"/>
        <v>110.4</v>
      </c>
      <c r="BA132">
        <f t="shared" si="89"/>
        <v>120.6</v>
      </c>
      <c r="BB132">
        <f t="shared" si="90"/>
        <v>131.5</v>
      </c>
      <c r="BC132">
        <f t="shared" si="91"/>
        <v>120.9</v>
      </c>
      <c r="BD132">
        <f t="shared" si="92"/>
        <v>119.9</v>
      </c>
      <c r="BE132">
        <f t="shared" si="93"/>
        <v>128.4</v>
      </c>
      <c r="BF132">
        <f t="shared" si="94"/>
        <v>1783.9999999999995</v>
      </c>
      <c r="BG132">
        <f t="shared" si="95"/>
        <v>377</v>
      </c>
      <c r="BH132">
        <f t="shared" si="96"/>
        <v>242.10000000000002</v>
      </c>
      <c r="BI132">
        <f t="shared" si="97"/>
        <v>382.7</v>
      </c>
      <c r="BJ132">
        <f t="shared" si="98"/>
        <v>384.1</v>
      </c>
      <c r="BK132">
        <f t="shared" si="99"/>
        <v>225.10000000000002</v>
      </c>
    </row>
    <row r="133" spans="1:63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f t="shared" si="67"/>
        <v>129.30000000000001</v>
      </c>
      <c r="AF133">
        <f t="shared" si="68"/>
        <v>139.30000000000001</v>
      </c>
      <c r="AG133">
        <f t="shared" si="69"/>
        <v>131.6</v>
      </c>
      <c r="AH133">
        <f t="shared" si="70"/>
        <v>134.1</v>
      </c>
      <c r="AI133">
        <f t="shared" si="71"/>
        <v>116.9</v>
      </c>
      <c r="AJ133">
        <f t="shared" si="72"/>
        <v>138.1</v>
      </c>
      <c r="AK133">
        <f t="shared" si="73"/>
        <v>159.1</v>
      </c>
      <c r="AL133">
        <f t="shared" si="74"/>
        <v>175.6</v>
      </c>
      <c r="AM133">
        <f t="shared" si="75"/>
        <v>112.9</v>
      </c>
      <c r="AN133">
        <f t="shared" si="76"/>
        <v>138.1</v>
      </c>
      <c r="AO133">
        <f t="shared" si="77"/>
        <v>125.5</v>
      </c>
      <c r="AP133">
        <f t="shared" si="78"/>
        <v>139.5</v>
      </c>
      <c r="AQ133">
        <f t="shared" si="79"/>
        <v>137.9</v>
      </c>
      <c r="AR133">
        <f t="shared" si="80"/>
        <v>140.19999999999999</v>
      </c>
      <c r="AS133">
        <f t="shared" si="81"/>
        <v>134.1</v>
      </c>
      <c r="AT133">
        <f t="shared" si="82"/>
        <v>128.19999999999999</v>
      </c>
      <c r="AU133">
        <f t="shared" si="83"/>
        <v>133.19999999999999</v>
      </c>
      <c r="AV133">
        <f t="shared" si="84"/>
        <v>127.3</v>
      </c>
      <c r="AW133">
        <f t="shared" si="85"/>
        <v>123.6</v>
      </c>
      <c r="AX133">
        <f t="shared" si="86"/>
        <v>127.4</v>
      </c>
      <c r="AY133">
        <f t="shared" si="87"/>
        <v>124.8</v>
      </c>
      <c r="AZ133">
        <f t="shared" si="88"/>
        <v>113.1</v>
      </c>
      <c r="BA133">
        <f t="shared" si="89"/>
        <v>122.7</v>
      </c>
      <c r="BB133">
        <f t="shared" si="90"/>
        <v>131.69999999999999</v>
      </c>
      <c r="BC133">
        <f t="shared" si="91"/>
        <v>121.5</v>
      </c>
      <c r="BD133">
        <f t="shared" si="92"/>
        <v>122.1</v>
      </c>
      <c r="BE133">
        <f t="shared" si="93"/>
        <v>131.1</v>
      </c>
      <c r="BF133">
        <f t="shared" si="94"/>
        <v>1777.9</v>
      </c>
      <c r="BG133">
        <f t="shared" si="95"/>
        <v>395.49999999999994</v>
      </c>
      <c r="BH133">
        <f t="shared" si="96"/>
        <v>246.3</v>
      </c>
      <c r="BI133">
        <f t="shared" si="97"/>
        <v>386.40000000000003</v>
      </c>
      <c r="BJ133">
        <f t="shared" si="98"/>
        <v>385</v>
      </c>
      <c r="BK133">
        <f t="shared" si="99"/>
        <v>236.7</v>
      </c>
    </row>
    <row r="134" spans="1:63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f t="shared" si="67"/>
        <v>130.80000000000001</v>
      </c>
      <c r="AF134">
        <f t="shared" si="68"/>
        <v>138.19999999999999</v>
      </c>
      <c r="AG134">
        <f t="shared" si="69"/>
        <v>130.5</v>
      </c>
      <c r="AH134">
        <f t="shared" si="70"/>
        <v>135.5</v>
      </c>
      <c r="AI134">
        <f t="shared" si="71"/>
        <v>120.2</v>
      </c>
      <c r="AJ134">
        <f t="shared" si="72"/>
        <v>139.19999999999999</v>
      </c>
      <c r="AK134">
        <f t="shared" si="73"/>
        <v>149.5</v>
      </c>
      <c r="AL134">
        <f t="shared" si="74"/>
        <v>170.4</v>
      </c>
      <c r="AM134">
        <f t="shared" si="75"/>
        <v>113.1</v>
      </c>
      <c r="AN134">
        <f t="shared" si="76"/>
        <v>135.80000000000001</v>
      </c>
      <c r="AO134">
        <f t="shared" si="77"/>
        <v>128.80000000000001</v>
      </c>
      <c r="AP134">
        <f t="shared" si="78"/>
        <v>141.5</v>
      </c>
      <c r="AQ134">
        <f t="shared" si="79"/>
        <v>137.19999999999999</v>
      </c>
      <c r="AR134">
        <f t="shared" si="80"/>
        <v>139.9</v>
      </c>
      <c r="AS134">
        <f t="shared" si="81"/>
        <v>138.5</v>
      </c>
      <c r="AT134">
        <f t="shared" si="82"/>
        <v>133.5</v>
      </c>
      <c r="AU134">
        <f t="shared" si="83"/>
        <v>137.80000000000001</v>
      </c>
      <c r="AV134">
        <f t="shared" si="84"/>
        <v>127.9</v>
      </c>
      <c r="AW134">
        <f t="shared" si="85"/>
        <v>129.69999999999999</v>
      </c>
      <c r="AX134">
        <f t="shared" si="86"/>
        <v>131.1</v>
      </c>
      <c r="AY134">
        <f t="shared" si="87"/>
        <v>127.8</v>
      </c>
      <c r="AZ134">
        <f t="shared" si="88"/>
        <v>117</v>
      </c>
      <c r="BA134">
        <f t="shared" si="89"/>
        <v>125.7</v>
      </c>
      <c r="BB134">
        <f t="shared" si="90"/>
        <v>132.19999999999999</v>
      </c>
      <c r="BC134">
        <f t="shared" si="91"/>
        <v>122.8</v>
      </c>
      <c r="BD134">
        <f t="shared" si="92"/>
        <v>124.9</v>
      </c>
      <c r="BE134">
        <f t="shared" si="93"/>
        <v>133.4</v>
      </c>
      <c r="BF134">
        <f t="shared" si="94"/>
        <v>1770.7</v>
      </c>
      <c r="BG134">
        <f t="shared" si="95"/>
        <v>409.8</v>
      </c>
      <c r="BH134">
        <f t="shared" si="96"/>
        <v>250.6</v>
      </c>
      <c r="BI134">
        <f t="shared" si="97"/>
        <v>391.19999999999993</v>
      </c>
      <c r="BJ134">
        <f t="shared" si="98"/>
        <v>390.5</v>
      </c>
      <c r="BK134">
        <f t="shared" si="99"/>
        <v>246.7</v>
      </c>
    </row>
    <row r="135" spans="1:63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f t="shared" si="67"/>
        <v>128.1</v>
      </c>
      <c r="AF135">
        <f t="shared" si="68"/>
        <v>137.69999999999999</v>
      </c>
      <c r="AG135">
        <f t="shared" si="69"/>
        <v>130.6</v>
      </c>
      <c r="AH135">
        <f t="shared" si="70"/>
        <v>132.6</v>
      </c>
      <c r="AI135">
        <f t="shared" si="71"/>
        <v>111.9</v>
      </c>
      <c r="AJ135">
        <f t="shared" si="72"/>
        <v>132.5</v>
      </c>
      <c r="AK135">
        <f t="shared" si="73"/>
        <v>152.9</v>
      </c>
      <c r="AL135">
        <f t="shared" si="74"/>
        <v>173.6</v>
      </c>
      <c r="AM135">
        <f t="shared" si="75"/>
        <v>115.1</v>
      </c>
      <c r="AN135">
        <f t="shared" si="76"/>
        <v>144.80000000000001</v>
      </c>
      <c r="AO135">
        <f t="shared" si="77"/>
        <v>122.1</v>
      </c>
      <c r="AP135">
        <f t="shared" si="78"/>
        <v>138.80000000000001</v>
      </c>
      <c r="AQ135">
        <f t="shared" si="79"/>
        <v>135.69999999999999</v>
      </c>
      <c r="AR135">
        <f t="shared" si="80"/>
        <v>143.9</v>
      </c>
      <c r="AS135">
        <f t="shared" si="81"/>
        <v>128.69999999999999</v>
      </c>
      <c r="AT135">
        <f t="shared" si="82"/>
        <v>121.6</v>
      </c>
      <c r="AU135">
        <f t="shared" si="83"/>
        <v>127.7</v>
      </c>
      <c r="AV135">
        <f t="shared" si="84"/>
        <v>127.9</v>
      </c>
      <c r="AW135">
        <f t="shared" si="85"/>
        <v>114.8</v>
      </c>
      <c r="AX135">
        <f t="shared" si="86"/>
        <v>124.3</v>
      </c>
      <c r="AY135">
        <f t="shared" si="87"/>
        <v>121.4</v>
      </c>
      <c r="AZ135">
        <f t="shared" si="88"/>
        <v>111.8</v>
      </c>
      <c r="BA135">
        <f t="shared" si="89"/>
        <v>120.8</v>
      </c>
      <c r="BB135">
        <f t="shared" si="90"/>
        <v>131.6</v>
      </c>
      <c r="BC135">
        <f t="shared" si="91"/>
        <v>121.2</v>
      </c>
      <c r="BD135">
        <f t="shared" si="92"/>
        <v>120.5</v>
      </c>
      <c r="BE135">
        <f t="shared" si="93"/>
        <v>128</v>
      </c>
      <c r="BF135">
        <f t="shared" si="94"/>
        <v>1756.3999999999996</v>
      </c>
      <c r="BG135">
        <f t="shared" si="95"/>
        <v>378</v>
      </c>
      <c r="BH135">
        <f t="shared" si="96"/>
        <v>242.60000000000002</v>
      </c>
      <c r="BI135">
        <f t="shared" si="97"/>
        <v>383.79999999999995</v>
      </c>
      <c r="BJ135">
        <f t="shared" si="98"/>
        <v>385.2</v>
      </c>
      <c r="BK135">
        <f t="shared" si="99"/>
        <v>226.6</v>
      </c>
    </row>
    <row r="136" spans="1:63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f t="shared" si="67"/>
        <v>129.9</v>
      </c>
      <c r="AF136">
        <f t="shared" si="68"/>
        <v>138</v>
      </c>
      <c r="AG136">
        <f t="shared" si="69"/>
        <v>130.5</v>
      </c>
      <c r="AH136">
        <f t="shared" si="70"/>
        <v>134.4</v>
      </c>
      <c r="AI136">
        <f t="shared" si="71"/>
        <v>117.2</v>
      </c>
      <c r="AJ136">
        <f t="shared" si="72"/>
        <v>136.1</v>
      </c>
      <c r="AK136">
        <f t="shared" si="73"/>
        <v>150.69999999999999</v>
      </c>
      <c r="AL136">
        <f t="shared" si="74"/>
        <v>171.5</v>
      </c>
      <c r="AM136">
        <f t="shared" si="75"/>
        <v>113.8</v>
      </c>
      <c r="AN136">
        <f t="shared" si="76"/>
        <v>138.80000000000001</v>
      </c>
      <c r="AO136">
        <f t="shared" si="77"/>
        <v>126</v>
      </c>
      <c r="AP136">
        <f t="shared" si="78"/>
        <v>140.19999999999999</v>
      </c>
      <c r="AQ136">
        <f t="shared" si="79"/>
        <v>136.6</v>
      </c>
      <c r="AR136">
        <f t="shared" si="80"/>
        <v>141</v>
      </c>
      <c r="AS136">
        <f t="shared" si="81"/>
        <v>134.6</v>
      </c>
      <c r="AT136">
        <f t="shared" si="82"/>
        <v>128.6</v>
      </c>
      <c r="AU136">
        <f t="shared" si="83"/>
        <v>133.80000000000001</v>
      </c>
      <c r="AV136">
        <f t="shared" si="84"/>
        <v>127.9</v>
      </c>
      <c r="AW136">
        <f t="shared" si="85"/>
        <v>124.1</v>
      </c>
      <c r="AX136">
        <f t="shared" si="86"/>
        <v>127.9</v>
      </c>
      <c r="AY136">
        <f t="shared" si="87"/>
        <v>125.4</v>
      </c>
      <c r="AZ136">
        <f t="shared" si="88"/>
        <v>114.3</v>
      </c>
      <c r="BA136">
        <f t="shared" si="89"/>
        <v>122.9</v>
      </c>
      <c r="BB136">
        <f t="shared" si="90"/>
        <v>131.80000000000001</v>
      </c>
      <c r="BC136">
        <f t="shared" si="91"/>
        <v>122.1</v>
      </c>
      <c r="BD136">
        <f t="shared" si="92"/>
        <v>122.8</v>
      </c>
      <c r="BE136">
        <f t="shared" si="93"/>
        <v>130.9</v>
      </c>
      <c r="BF136">
        <f t="shared" si="94"/>
        <v>1763.6999999999998</v>
      </c>
      <c r="BG136">
        <f t="shared" si="95"/>
        <v>397</v>
      </c>
      <c r="BH136">
        <f t="shared" si="96"/>
        <v>247.5</v>
      </c>
      <c r="BI136">
        <f t="shared" si="97"/>
        <v>387.6</v>
      </c>
      <c r="BJ136">
        <f t="shared" si="98"/>
        <v>386.7</v>
      </c>
      <c r="BK136">
        <f t="shared" si="99"/>
        <v>238.39999999999998</v>
      </c>
    </row>
    <row r="137" spans="1:63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f t="shared" si="67"/>
        <v>131.30000000000001</v>
      </c>
      <c r="AF137">
        <f t="shared" si="68"/>
        <v>137.6</v>
      </c>
      <c r="AG137">
        <f t="shared" si="69"/>
        <v>130.1</v>
      </c>
      <c r="AH137">
        <f t="shared" si="70"/>
        <v>136</v>
      </c>
      <c r="AI137">
        <f t="shared" si="71"/>
        <v>120.8</v>
      </c>
      <c r="AJ137">
        <f t="shared" si="72"/>
        <v>138.4</v>
      </c>
      <c r="AK137">
        <f t="shared" si="73"/>
        <v>149.19999999999999</v>
      </c>
      <c r="AL137">
        <f t="shared" si="74"/>
        <v>170.2</v>
      </c>
      <c r="AM137">
        <f t="shared" si="75"/>
        <v>113.4</v>
      </c>
      <c r="AN137">
        <f t="shared" si="76"/>
        <v>136.30000000000001</v>
      </c>
      <c r="AO137">
        <f t="shared" si="77"/>
        <v>128.69999999999999</v>
      </c>
      <c r="AP137">
        <f t="shared" si="78"/>
        <v>142.4</v>
      </c>
      <c r="AQ137">
        <f t="shared" si="79"/>
        <v>137.4</v>
      </c>
      <c r="AR137">
        <f t="shared" si="80"/>
        <v>140.9</v>
      </c>
      <c r="AS137">
        <f t="shared" si="81"/>
        <v>139.6</v>
      </c>
      <c r="AT137">
        <f t="shared" si="82"/>
        <v>134.30000000000001</v>
      </c>
      <c r="AU137">
        <f t="shared" si="83"/>
        <v>138.80000000000001</v>
      </c>
      <c r="AV137">
        <f t="shared" si="84"/>
        <v>128.69999999999999</v>
      </c>
      <c r="AW137">
        <f t="shared" si="85"/>
        <v>129.80000000000001</v>
      </c>
      <c r="AX137">
        <f t="shared" si="86"/>
        <v>131.80000000000001</v>
      </c>
      <c r="AY137">
        <f t="shared" si="87"/>
        <v>128.69999999999999</v>
      </c>
      <c r="AZ137">
        <f t="shared" si="88"/>
        <v>117.8</v>
      </c>
      <c r="BA137">
        <f t="shared" si="89"/>
        <v>126.5</v>
      </c>
      <c r="BB137">
        <f t="shared" si="90"/>
        <v>133</v>
      </c>
      <c r="BC137">
        <f t="shared" si="91"/>
        <v>123</v>
      </c>
      <c r="BD137">
        <f t="shared" si="92"/>
        <v>125.7</v>
      </c>
      <c r="BE137">
        <f t="shared" si="93"/>
        <v>133.80000000000001</v>
      </c>
      <c r="BF137">
        <f t="shared" si="94"/>
        <v>1771.8000000000002</v>
      </c>
      <c r="BG137">
        <f t="shared" si="95"/>
        <v>412.7</v>
      </c>
      <c r="BH137">
        <f t="shared" si="96"/>
        <v>251.7</v>
      </c>
      <c r="BI137">
        <f t="shared" si="97"/>
        <v>393.5</v>
      </c>
      <c r="BJ137">
        <f t="shared" si="98"/>
        <v>393.09999999999997</v>
      </c>
      <c r="BK137">
        <f t="shared" si="99"/>
        <v>247.60000000000002</v>
      </c>
    </row>
    <row r="138" spans="1:63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f t="shared" si="67"/>
        <v>128.69999999999999</v>
      </c>
      <c r="AF138">
        <f t="shared" si="68"/>
        <v>138.4</v>
      </c>
      <c r="AG138">
        <f t="shared" si="69"/>
        <v>130.30000000000001</v>
      </c>
      <c r="AH138">
        <f t="shared" si="70"/>
        <v>132.69999999999999</v>
      </c>
      <c r="AI138">
        <f t="shared" si="71"/>
        <v>112.5</v>
      </c>
      <c r="AJ138">
        <f t="shared" si="72"/>
        <v>130.4</v>
      </c>
      <c r="AK138">
        <f t="shared" si="73"/>
        <v>155.1</v>
      </c>
      <c r="AL138">
        <f t="shared" si="74"/>
        <v>175.7</v>
      </c>
      <c r="AM138">
        <f t="shared" si="75"/>
        <v>115.4</v>
      </c>
      <c r="AN138">
        <f t="shared" si="76"/>
        <v>145.30000000000001</v>
      </c>
      <c r="AO138">
        <f t="shared" si="77"/>
        <v>122.5</v>
      </c>
      <c r="AP138">
        <f t="shared" si="78"/>
        <v>139.6</v>
      </c>
      <c r="AQ138">
        <f t="shared" si="79"/>
        <v>136.30000000000001</v>
      </c>
      <c r="AR138">
        <f t="shared" si="80"/>
        <v>144.30000000000001</v>
      </c>
      <c r="AS138">
        <f t="shared" si="81"/>
        <v>129.1</v>
      </c>
      <c r="AT138">
        <f t="shared" si="82"/>
        <v>121.9</v>
      </c>
      <c r="AU138">
        <f t="shared" si="83"/>
        <v>128</v>
      </c>
      <c r="AV138">
        <f t="shared" si="84"/>
        <v>128.69999999999999</v>
      </c>
      <c r="AW138">
        <f t="shared" si="85"/>
        <v>115.2</v>
      </c>
      <c r="AX138">
        <f t="shared" si="86"/>
        <v>124.5</v>
      </c>
      <c r="AY138">
        <f t="shared" si="87"/>
        <v>121.8</v>
      </c>
      <c r="AZ138">
        <f t="shared" si="88"/>
        <v>112.8</v>
      </c>
      <c r="BA138">
        <f t="shared" si="89"/>
        <v>121.2</v>
      </c>
      <c r="BB138">
        <f t="shared" si="90"/>
        <v>131.9</v>
      </c>
      <c r="BC138">
        <f t="shared" si="91"/>
        <v>120.8</v>
      </c>
      <c r="BD138">
        <f t="shared" si="92"/>
        <v>120.9</v>
      </c>
      <c r="BE138">
        <f t="shared" si="93"/>
        <v>128.6</v>
      </c>
      <c r="BF138">
        <f t="shared" si="94"/>
        <v>1762.8999999999999</v>
      </c>
      <c r="BG138">
        <f t="shared" si="95"/>
        <v>379</v>
      </c>
      <c r="BH138">
        <f t="shared" si="96"/>
        <v>242.6</v>
      </c>
      <c r="BI138">
        <f t="shared" si="97"/>
        <v>385.09999999999997</v>
      </c>
      <c r="BJ138">
        <f t="shared" si="98"/>
        <v>386.4</v>
      </c>
      <c r="BK138">
        <f t="shared" si="99"/>
        <v>228</v>
      </c>
    </row>
    <row r="139" spans="1:63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f t="shared" si="67"/>
        <v>130.5</v>
      </c>
      <c r="AF139">
        <f t="shared" si="68"/>
        <v>137.9</v>
      </c>
      <c r="AG139">
        <f t="shared" si="69"/>
        <v>130.19999999999999</v>
      </c>
      <c r="AH139">
        <f t="shared" si="70"/>
        <v>134.80000000000001</v>
      </c>
      <c r="AI139">
        <f t="shared" si="71"/>
        <v>117.8</v>
      </c>
      <c r="AJ139">
        <f t="shared" si="72"/>
        <v>134.69999999999999</v>
      </c>
      <c r="AK139">
        <f t="shared" si="73"/>
        <v>151.19999999999999</v>
      </c>
      <c r="AL139">
        <f t="shared" si="74"/>
        <v>172.1</v>
      </c>
      <c r="AM139">
        <f t="shared" si="75"/>
        <v>114.1</v>
      </c>
      <c r="AN139">
        <f t="shared" si="76"/>
        <v>139.30000000000001</v>
      </c>
      <c r="AO139">
        <f t="shared" si="77"/>
        <v>126.1</v>
      </c>
      <c r="AP139">
        <f t="shared" si="78"/>
        <v>141.1</v>
      </c>
      <c r="AQ139">
        <f t="shared" si="79"/>
        <v>137</v>
      </c>
      <c r="AR139">
        <f t="shared" si="80"/>
        <v>141.80000000000001</v>
      </c>
      <c r="AS139">
        <f t="shared" si="81"/>
        <v>135.5</v>
      </c>
      <c r="AT139">
        <f t="shared" si="82"/>
        <v>129.1</v>
      </c>
      <c r="AU139">
        <f t="shared" si="83"/>
        <v>134.5</v>
      </c>
      <c r="AV139">
        <f t="shared" si="84"/>
        <v>128.69999999999999</v>
      </c>
      <c r="AW139">
        <f t="shared" si="85"/>
        <v>124.3</v>
      </c>
      <c r="AX139">
        <f t="shared" si="86"/>
        <v>128.4</v>
      </c>
      <c r="AY139">
        <f t="shared" si="87"/>
        <v>126.1</v>
      </c>
      <c r="AZ139">
        <f t="shared" si="88"/>
        <v>115.2</v>
      </c>
      <c r="BA139">
        <f t="shared" si="89"/>
        <v>123.5</v>
      </c>
      <c r="BB139">
        <f t="shared" si="90"/>
        <v>132.4</v>
      </c>
      <c r="BC139">
        <f t="shared" si="91"/>
        <v>122.1</v>
      </c>
      <c r="BD139">
        <f t="shared" si="92"/>
        <v>123.4</v>
      </c>
      <c r="BE139">
        <f t="shared" si="93"/>
        <v>131.4</v>
      </c>
      <c r="BF139">
        <f t="shared" si="94"/>
        <v>1766.7999999999995</v>
      </c>
      <c r="BG139">
        <f t="shared" si="95"/>
        <v>399.1</v>
      </c>
      <c r="BH139">
        <f t="shared" si="96"/>
        <v>248.2</v>
      </c>
      <c r="BI139">
        <f t="shared" si="97"/>
        <v>389.5</v>
      </c>
      <c r="BJ139">
        <f t="shared" si="98"/>
        <v>388.70000000000005</v>
      </c>
      <c r="BK139">
        <f t="shared" si="99"/>
        <v>239.5</v>
      </c>
    </row>
    <row r="140" spans="1:63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f t="shared" si="67"/>
        <v>132</v>
      </c>
      <c r="AF140">
        <f t="shared" si="68"/>
        <v>137.4</v>
      </c>
      <c r="AG140">
        <f t="shared" si="69"/>
        <v>130.6</v>
      </c>
      <c r="AH140">
        <f t="shared" si="70"/>
        <v>136.19999999999999</v>
      </c>
      <c r="AI140">
        <f t="shared" si="71"/>
        <v>121.1</v>
      </c>
      <c r="AJ140">
        <f t="shared" si="72"/>
        <v>136.9</v>
      </c>
      <c r="AK140">
        <f t="shared" si="73"/>
        <v>141.80000000000001</v>
      </c>
      <c r="AL140">
        <f t="shared" si="74"/>
        <v>170</v>
      </c>
      <c r="AM140">
        <f t="shared" si="75"/>
        <v>113.4</v>
      </c>
      <c r="AN140">
        <f t="shared" si="76"/>
        <v>136.80000000000001</v>
      </c>
      <c r="AO140">
        <f t="shared" si="77"/>
        <v>128.69999999999999</v>
      </c>
      <c r="AP140">
        <f t="shared" si="78"/>
        <v>143.1</v>
      </c>
      <c r="AQ140">
        <f t="shared" si="79"/>
        <v>136.6</v>
      </c>
      <c r="AR140">
        <f t="shared" si="80"/>
        <v>141.19999999999999</v>
      </c>
      <c r="AS140">
        <f t="shared" si="81"/>
        <v>139.9</v>
      </c>
      <c r="AT140">
        <f t="shared" si="82"/>
        <v>134.5</v>
      </c>
      <c r="AU140">
        <f t="shared" si="83"/>
        <v>139.19999999999999</v>
      </c>
      <c r="AV140">
        <f t="shared" si="84"/>
        <v>129.1</v>
      </c>
      <c r="AW140">
        <f t="shared" si="85"/>
        <v>130.30000000000001</v>
      </c>
      <c r="AX140">
        <f t="shared" si="86"/>
        <v>132.1</v>
      </c>
      <c r="AY140">
        <f t="shared" si="87"/>
        <v>129.1</v>
      </c>
      <c r="AZ140">
        <f t="shared" si="88"/>
        <v>118.2</v>
      </c>
      <c r="BA140">
        <f t="shared" si="89"/>
        <v>126.9</v>
      </c>
      <c r="BB140">
        <f t="shared" si="90"/>
        <v>133.69999999999999</v>
      </c>
      <c r="BC140">
        <f t="shared" si="91"/>
        <v>123.5</v>
      </c>
      <c r="BD140">
        <f t="shared" si="92"/>
        <v>126.1</v>
      </c>
      <c r="BE140">
        <f t="shared" si="93"/>
        <v>133.6</v>
      </c>
      <c r="BF140">
        <f t="shared" si="94"/>
        <v>1764.6</v>
      </c>
      <c r="BG140">
        <f t="shared" si="95"/>
        <v>413.59999999999997</v>
      </c>
      <c r="BH140">
        <f t="shared" si="96"/>
        <v>252.6</v>
      </c>
      <c r="BI140">
        <f t="shared" si="97"/>
        <v>394.9</v>
      </c>
      <c r="BJ140">
        <f t="shared" si="98"/>
        <v>394.20000000000005</v>
      </c>
      <c r="BK140">
        <f t="shared" si="99"/>
        <v>248.5</v>
      </c>
    </row>
    <row r="141" spans="1:63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f t="shared" si="67"/>
        <v>130.19999999999999</v>
      </c>
      <c r="AF141">
        <f t="shared" si="68"/>
        <v>138.5</v>
      </c>
      <c r="AG141">
        <f t="shared" si="69"/>
        <v>134.1</v>
      </c>
      <c r="AH141">
        <f t="shared" si="70"/>
        <v>132.9</v>
      </c>
      <c r="AI141">
        <f t="shared" si="71"/>
        <v>112.6</v>
      </c>
      <c r="AJ141">
        <f t="shared" si="72"/>
        <v>130.80000000000001</v>
      </c>
      <c r="AK141">
        <f t="shared" si="73"/>
        <v>142</v>
      </c>
      <c r="AL141">
        <f t="shared" si="74"/>
        <v>174.9</v>
      </c>
      <c r="AM141">
        <f t="shared" si="75"/>
        <v>115.6</v>
      </c>
      <c r="AN141">
        <f t="shared" si="76"/>
        <v>145.4</v>
      </c>
      <c r="AO141">
        <f t="shared" si="77"/>
        <v>122.7</v>
      </c>
      <c r="AP141">
        <f t="shared" si="78"/>
        <v>140.30000000000001</v>
      </c>
      <c r="AQ141">
        <f t="shared" si="79"/>
        <v>135.19999999999999</v>
      </c>
      <c r="AR141">
        <f t="shared" si="80"/>
        <v>144.30000000000001</v>
      </c>
      <c r="AS141">
        <f t="shared" si="81"/>
        <v>129.6</v>
      </c>
      <c r="AT141">
        <f t="shared" si="82"/>
        <v>122.1</v>
      </c>
      <c r="AU141">
        <f t="shared" si="83"/>
        <v>128.5</v>
      </c>
      <c r="AV141">
        <f t="shared" si="84"/>
        <v>129.1</v>
      </c>
      <c r="AW141">
        <f t="shared" si="85"/>
        <v>116.2</v>
      </c>
      <c r="AX141">
        <f t="shared" si="86"/>
        <v>124.7</v>
      </c>
      <c r="AY141">
        <f t="shared" si="87"/>
        <v>122.1</v>
      </c>
      <c r="AZ141">
        <f t="shared" si="88"/>
        <v>113.4</v>
      </c>
      <c r="BA141">
        <f t="shared" si="89"/>
        <v>121.7</v>
      </c>
      <c r="BB141">
        <f t="shared" si="90"/>
        <v>132.1</v>
      </c>
      <c r="BC141">
        <f t="shared" si="91"/>
        <v>121.3</v>
      </c>
      <c r="BD141">
        <f t="shared" si="92"/>
        <v>121.3</v>
      </c>
      <c r="BE141">
        <f t="shared" si="93"/>
        <v>128.5</v>
      </c>
      <c r="BF141">
        <f t="shared" si="94"/>
        <v>1755.2</v>
      </c>
      <c r="BG141">
        <f t="shared" si="95"/>
        <v>380.2</v>
      </c>
      <c r="BH141">
        <f t="shared" si="96"/>
        <v>243.39999999999998</v>
      </c>
      <c r="BI141">
        <f t="shared" si="97"/>
        <v>385.9</v>
      </c>
      <c r="BJ141">
        <f t="shared" si="98"/>
        <v>387.3</v>
      </c>
      <c r="BK141">
        <f t="shared" si="99"/>
        <v>229.60000000000002</v>
      </c>
    </row>
    <row r="142" spans="1:63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f t="shared" si="67"/>
        <v>131.4</v>
      </c>
      <c r="AF142">
        <f t="shared" si="68"/>
        <v>137.80000000000001</v>
      </c>
      <c r="AG142">
        <f t="shared" si="69"/>
        <v>132</v>
      </c>
      <c r="AH142">
        <f t="shared" si="70"/>
        <v>135</v>
      </c>
      <c r="AI142">
        <f t="shared" si="71"/>
        <v>118</v>
      </c>
      <c r="AJ142">
        <f t="shared" si="72"/>
        <v>134.1</v>
      </c>
      <c r="AK142">
        <f t="shared" si="73"/>
        <v>141.9</v>
      </c>
      <c r="AL142">
        <f t="shared" si="74"/>
        <v>171.7</v>
      </c>
      <c r="AM142">
        <f t="shared" si="75"/>
        <v>114.1</v>
      </c>
      <c r="AN142">
        <f t="shared" si="76"/>
        <v>139.69999999999999</v>
      </c>
      <c r="AO142">
        <f t="shared" si="77"/>
        <v>126.2</v>
      </c>
      <c r="AP142">
        <f t="shared" si="78"/>
        <v>141.80000000000001</v>
      </c>
      <c r="AQ142">
        <f t="shared" si="79"/>
        <v>136.1</v>
      </c>
      <c r="AR142">
        <f t="shared" si="80"/>
        <v>142</v>
      </c>
      <c r="AS142">
        <f t="shared" si="81"/>
        <v>135.80000000000001</v>
      </c>
      <c r="AT142">
        <f t="shared" si="82"/>
        <v>129.30000000000001</v>
      </c>
      <c r="AU142">
        <f t="shared" si="83"/>
        <v>135</v>
      </c>
      <c r="AV142">
        <f t="shared" si="84"/>
        <v>129.1</v>
      </c>
      <c r="AW142">
        <f t="shared" si="85"/>
        <v>125</v>
      </c>
      <c r="AX142">
        <f t="shared" si="86"/>
        <v>128.6</v>
      </c>
      <c r="AY142">
        <f t="shared" si="87"/>
        <v>126.4</v>
      </c>
      <c r="AZ142">
        <f t="shared" si="88"/>
        <v>115.7</v>
      </c>
      <c r="BA142">
        <f t="shared" si="89"/>
        <v>124</v>
      </c>
      <c r="BB142">
        <f t="shared" si="90"/>
        <v>132.80000000000001</v>
      </c>
      <c r="BC142">
        <f t="shared" si="91"/>
        <v>122.6</v>
      </c>
      <c r="BD142">
        <f t="shared" si="92"/>
        <v>123.8</v>
      </c>
      <c r="BE142">
        <f t="shared" si="93"/>
        <v>131.19999999999999</v>
      </c>
      <c r="BF142">
        <f t="shared" si="94"/>
        <v>1759.8</v>
      </c>
      <c r="BG142">
        <f t="shared" si="95"/>
        <v>400.1</v>
      </c>
      <c r="BH142">
        <f t="shared" si="96"/>
        <v>249</v>
      </c>
      <c r="BI142">
        <f t="shared" si="97"/>
        <v>390.5</v>
      </c>
      <c r="BJ142">
        <f t="shared" si="98"/>
        <v>389.8</v>
      </c>
      <c r="BK142">
        <f t="shared" si="99"/>
        <v>240.7</v>
      </c>
    </row>
    <row r="143" spans="1:63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f t="shared" si="67"/>
        <v>132.6</v>
      </c>
      <c r="AF143">
        <f t="shared" si="68"/>
        <v>137.30000000000001</v>
      </c>
      <c r="AG143">
        <f t="shared" si="69"/>
        <v>131.6</v>
      </c>
      <c r="AH143">
        <f t="shared" si="70"/>
        <v>136.30000000000001</v>
      </c>
      <c r="AI143">
        <f t="shared" si="71"/>
        <v>121.6</v>
      </c>
      <c r="AJ143">
        <f t="shared" si="72"/>
        <v>135.6</v>
      </c>
      <c r="AK143">
        <f t="shared" si="73"/>
        <v>127.5</v>
      </c>
      <c r="AL143">
        <f t="shared" si="74"/>
        <v>167.9</v>
      </c>
      <c r="AM143">
        <f t="shared" si="75"/>
        <v>113.8</v>
      </c>
      <c r="AN143">
        <f t="shared" si="76"/>
        <v>137.5</v>
      </c>
      <c r="AO143">
        <f t="shared" si="77"/>
        <v>129.1</v>
      </c>
      <c r="AP143">
        <f t="shared" si="78"/>
        <v>143.6</v>
      </c>
      <c r="AQ143">
        <f t="shared" si="79"/>
        <v>134.69999999999999</v>
      </c>
      <c r="AR143">
        <f t="shared" si="80"/>
        <v>142.4</v>
      </c>
      <c r="AS143">
        <f t="shared" si="81"/>
        <v>140.4</v>
      </c>
      <c r="AT143">
        <f t="shared" si="82"/>
        <v>135.19999999999999</v>
      </c>
      <c r="AU143">
        <f t="shared" si="83"/>
        <v>139.69999999999999</v>
      </c>
      <c r="AV143">
        <f t="shared" si="84"/>
        <v>128.5</v>
      </c>
      <c r="AW143">
        <f t="shared" si="85"/>
        <v>132</v>
      </c>
      <c r="AX143">
        <f t="shared" si="86"/>
        <v>132.9</v>
      </c>
      <c r="AY143">
        <f t="shared" si="87"/>
        <v>129.69999999999999</v>
      </c>
      <c r="AZ143">
        <f t="shared" si="88"/>
        <v>118.6</v>
      </c>
      <c r="BA143">
        <f t="shared" si="89"/>
        <v>127.3</v>
      </c>
      <c r="BB143">
        <f t="shared" si="90"/>
        <v>134.19999999999999</v>
      </c>
      <c r="BC143">
        <f t="shared" si="91"/>
        <v>121.9</v>
      </c>
      <c r="BD143">
        <f t="shared" si="92"/>
        <v>126.3</v>
      </c>
      <c r="BE143">
        <f t="shared" si="93"/>
        <v>132.80000000000001</v>
      </c>
      <c r="BF143">
        <f t="shared" si="94"/>
        <v>1749.1</v>
      </c>
      <c r="BG143">
        <f t="shared" si="95"/>
        <v>415.3</v>
      </c>
      <c r="BH143">
        <f t="shared" si="96"/>
        <v>251.6</v>
      </c>
      <c r="BI143">
        <f t="shared" si="97"/>
        <v>395.6</v>
      </c>
      <c r="BJ143">
        <f t="shared" si="98"/>
        <v>396</v>
      </c>
      <c r="BK143">
        <f t="shared" si="99"/>
        <v>250.6</v>
      </c>
    </row>
    <row r="144" spans="1:63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f t="shared" si="67"/>
        <v>131.6</v>
      </c>
      <c r="AF144">
        <f t="shared" si="68"/>
        <v>138.19999999999999</v>
      </c>
      <c r="AG144">
        <f t="shared" si="69"/>
        <v>134.9</v>
      </c>
      <c r="AH144">
        <f t="shared" si="70"/>
        <v>133.1</v>
      </c>
      <c r="AI144">
        <f t="shared" si="71"/>
        <v>113.5</v>
      </c>
      <c r="AJ144">
        <f t="shared" si="72"/>
        <v>129.30000000000001</v>
      </c>
      <c r="AK144">
        <f t="shared" si="73"/>
        <v>121.1</v>
      </c>
      <c r="AL144">
        <f t="shared" si="74"/>
        <v>170.3</v>
      </c>
      <c r="AM144">
        <f t="shared" si="75"/>
        <v>115.5</v>
      </c>
      <c r="AN144">
        <f t="shared" si="76"/>
        <v>145.5</v>
      </c>
      <c r="AO144">
        <f t="shared" si="77"/>
        <v>123.1</v>
      </c>
      <c r="AP144">
        <f t="shared" si="78"/>
        <v>140.9</v>
      </c>
      <c r="AQ144">
        <f t="shared" si="79"/>
        <v>132.80000000000001</v>
      </c>
      <c r="AR144">
        <f t="shared" si="80"/>
        <v>145</v>
      </c>
      <c r="AS144">
        <f t="shared" si="81"/>
        <v>130</v>
      </c>
      <c r="AT144">
        <f t="shared" si="82"/>
        <v>122.2</v>
      </c>
      <c r="AU144">
        <f t="shared" si="83"/>
        <v>128.80000000000001</v>
      </c>
      <c r="AV144">
        <f t="shared" si="84"/>
        <v>128.5</v>
      </c>
      <c r="AW144">
        <f t="shared" si="85"/>
        <v>117.8</v>
      </c>
      <c r="AX144">
        <f t="shared" si="86"/>
        <v>125</v>
      </c>
      <c r="AY144">
        <f t="shared" si="87"/>
        <v>122.3</v>
      </c>
      <c r="AZ144">
        <f t="shared" si="88"/>
        <v>113.7</v>
      </c>
      <c r="BA144">
        <f t="shared" si="89"/>
        <v>121.8</v>
      </c>
      <c r="BB144">
        <f t="shared" si="90"/>
        <v>132.30000000000001</v>
      </c>
      <c r="BC144">
        <f t="shared" si="91"/>
        <v>119.9</v>
      </c>
      <c r="BD144">
        <f t="shared" si="92"/>
        <v>121.4</v>
      </c>
      <c r="BE144">
        <f t="shared" si="93"/>
        <v>127.6</v>
      </c>
      <c r="BF144">
        <f t="shared" si="94"/>
        <v>1729.8</v>
      </c>
      <c r="BG144">
        <f t="shared" si="95"/>
        <v>381</v>
      </c>
      <c r="BH144">
        <f t="shared" si="96"/>
        <v>242.2</v>
      </c>
      <c r="BI144">
        <f t="shared" si="97"/>
        <v>385.8</v>
      </c>
      <c r="BJ144">
        <f t="shared" si="98"/>
        <v>388.20000000000005</v>
      </c>
      <c r="BK144">
        <f t="shared" si="99"/>
        <v>231.5</v>
      </c>
    </row>
    <row r="145" spans="1:63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f t="shared" si="67"/>
        <v>132.30000000000001</v>
      </c>
      <c r="AF145">
        <f t="shared" si="68"/>
        <v>137.6</v>
      </c>
      <c r="AG145">
        <f t="shared" si="69"/>
        <v>132.9</v>
      </c>
      <c r="AH145">
        <f t="shared" si="70"/>
        <v>135.1</v>
      </c>
      <c r="AI145">
        <f t="shared" si="71"/>
        <v>118.6</v>
      </c>
      <c r="AJ145">
        <f t="shared" si="72"/>
        <v>132.69999999999999</v>
      </c>
      <c r="AK145">
        <f t="shared" si="73"/>
        <v>125.3</v>
      </c>
      <c r="AL145">
        <f t="shared" si="74"/>
        <v>168.7</v>
      </c>
      <c r="AM145">
        <f t="shared" si="75"/>
        <v>114.4</v>
      </c>
      <c r="AN145">
        <f t="shared" si="76"/>
        <v>140.19999999999999</v>
      </c>
      <c r="AO145">
        <f t="shared" si="77"/>
        <v>126.6</v>
      </c>
      <c r="AP145">
        <f t="shared" si="78"/>
        <v>142.30000000000001</v>
      </c>
      <c r="AQ145">
        <f t="shared" si="79"/>
        <v>134</v>
      </c>
      <c r="AR145">
        <f t="shared" si="80"/>
        <v>143.1</v>
      </c>
      <c r="AS145">
        <f t="shared" si="81"/>
        <v>136.30000000000001</v>
      </c>
      <c r="AT145">
        <f t="shared" si="82"/>
        <v>129.80000000000001</v>
      </c>
      <c r="AU145">
        <f t="shared" si="83"/>
        <v>135.4</v>
      </c>
      <c r="AV145">
        <f t="shared" si="84"/>
        <v>128.5</v>
      </c>
      <c r="AW145">
        <f t="shared" si="85"/>
        <v>126.6</v>
      </c>
      <c r="AX145">
        <f t="shared" si="86"/>
        <v>129.19999999999999</v>
      </c>
      <c r="AY145">
        <f t="shared" si="87"/>
        <v>126.9</v>
      </c>
      <c r="AZ145">
        <f t="shared" si="88"/>
        <v>116</v>
      </c>
      <c r="BA145">
        <f t="shared" si="89"/>
        <v>124.2</v>
      </c>
      <c r="BB145">
        <f t="shared" si="90"/>
        <v>133.1</v>
      </c>
      <c r="BC145">
        <f t="shared" si="91"/>
        <v>121.1</v>
      </c>
      <c r="BD145">
        <f t="shared" si="92"/>
        <v>123.9</v>
      </c>
      <c r="BE145">
        <f t="shared" si="93"/>
        <v>130.4</v>
      </c>
      <c r="BF145">
        <f t="shared" si="94"/>
        <v>1740.7</v>
      </c>
      <c r="BG145">
        <f t="shared" si="95"/>
        <v>401.5</v>
      </c>
      <c r="BH145">
        <f t="shared" si="96"/>
        <v>248</v>
      </c>
      <c r="BI145">
        <f t="shared" si="97"/>
        <v>390.79999999999995</v>
      </c>
      <c r="BJ145">
        <f t="shared" si="98"/>
        <v>391.20000000000005</v>
      </c>
      <c r="BK145">
        <f t="shared" si="99"/>
        <v>242.6</v>
      </c>
    </row>
    <row r="146" spans="1:63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f t="shared" si="67"/>
        <v>133.1</v>
      </c>
      <c r="AF146">
        <f t="shared" si="68"/>
        <v>137.80000000000001</v>
      </c>
      <c r="AG146">
        <f t="shared" si="69"/>
        <v>131.9</v>
      </c>
      <c r="AH146">
        <f t="shared" si="70"/>
        <v>136.69999999999999</v>
      </c>
      <c r="AI146">
        <f t="shared" si="71"/>
        <v>122</v>
      </c>
      <c r="AJ146">
        <f t="shared" si="72"/>
        <v>136</v>
      </c>
      <c r="AK146">
        <f t="shared" si="73"/>
        <v>119.8</v>
      </c>
      <c r="AL146">
        <f t="shared" si="74"/>
        <v>161.69999999999999</v>
      </c>
      <c r="AM146">
        <f t="shared" si="75"/>
        <v>114.8</v>
      </c>
      <c r="AN146">
        <f t="shared" si="76"/>
        <v>136.9</v>
      </c>
      <c r="AO146">
        <f t="shared" si="77"/>
        <v>129</v>
      </c>
      <c r="AP146">
        <f t="shared" si="78"/>
        <v>143.9</v>
      </c>
      <c r="AQ146">
        <f t="shared" si="79"/>
        <v>133.69999999999999</v>
      </c>
      <c r="AR146">
        <f t="shared" si="80"/>
        <v>143.1</v>
      </c>
      <c r="AS146">
        <f t="shared" si="81"/>
        <v>140.69999999999999</v>
      </c>
      <c r="AT146">
        <f t="shared" si="82"/>
        <v>135.80000000000001</v>
      </c>
      <c r="AU146">
        <f t="shared" si="83"/>
        <v>140</v>
      </c>
      <c r="AV146">
        <f t="shared" si="84"/>
        <v>129.6</v>
      </c>
      <c r="AW146">
        <f t="shared" si="85"/>
        <v>132.1</v>
      </c>
      <c r="AX146">
        <f t="shared" si="86"/>
        <v>133.19999999999999</v>
      </c>
      <c r="AY146">
        <f t="shared" si="87"/>
        <v>129.9</v>
      </c>
      <c r="AZ146">
        <f t="shared" si="88"/>
        <v>119.1</v>
      </c>
      <c r="BA146">
        <f t="shared" si="89"/>
        <v>127</v>
      </c>
      <c r="BB146">
        <f t="shared" si="90"/>
        <v>134.6</v>
      </c>
      <c r="BC146">
        <f t="shared" si="91"/>
        <v>122.3</v>
      </c>
      <c r="BD146">
        <f t="shared" si="92"/>
        <v>126.6</v>
      </c>
      <c r="BE146">
        <f t="shared" si="93"/>
        <v>132.4</v>
      </c>
      <c r="BF146">
        <f t="shared" si="94"/>
        <v>1737.3000000000002</v>
      </c>
      <c r="BG146">
        <f t="shared" si="95"/>
        <v>416.5</v>
      </c>
      <c r="BH146">
        <f t="shared" si="96"/>
        <v>252.2</v>
      </c>
      <c r="BI146">
        <f t="shared" si="97"/>
        <v>397.4</v>
      </c>
      <c r="BJ146">
        <f t="shared" si="98"/>
        <v>396.70000000000005</v>
      </c>
      <c r="BK146">
        <f t="shared" si="99"/>
        <v>251.2</v>
      </c>
    </row>
    <row r="147" spans="1:63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f t="shared" si="67"/>
        <v>132.19999999999999</v>
      </c>
      <c r="AF147">
        <f t="shared" si="68"/>
        <v>138.9</v>
      </c>
      <c r="AG147">
        <f t="shared" si="69"/>
        <v>132.6</v>
      </c>
      <c r="AH147">
        <f t="shared" si="70"/>
        <v>133.1</v>
      </c>
      <c r="AI147">
        <f t="shared" si="71"/>
        <v>114</v>
      </c>
      <c r="AJ147">
        <f t="shared" si="72"/>
        <v>129.6</v>
      </c>
      <c r="AK147">
        <f t="shared" si="73"/>
        <v>118.7</v>
      </c>
      <c r="AL147">
        <f t="shared" si="74"/>
        <v>155.1</v>
      </c>
      <c r="AM147">
        <f t="shared" si="75"/>
        <v>117.3</v>
      </c>
      <c r="AN147">
        <f t="shared" si="76"/>
        <v>144.9</v>
      </c>
      <c r="AO147">
        <f t="shared" si="77"/>
        <v>123.2</v>
      </c>
      <c r="AP147">
        <f t="shared" si="78"/>
        <v>141.6</v>
      </c>
      <c r="AQ147">
        <f t="shared" si="79"/>
        <v>132</v>
      </c>
      <c r="AR147">
        <f t="shared" si="80"/>
        <v>145.6</v>
      </c>
      <c r="AS147">
        <f t="shared" si="81"/>
        <v>130.19999999999999</v>
      </c>
      <c r="AT147">
        <f t="shared" si="82"/>
        <v>122.3</v>
      </c>
      <c r="AU147">
        <f t="shared" si="83"/>
        <v>129</v>
      </c>
      <c r="AV147">
        <f t="shared" si="84"/>
        <v>129.6</v>
      </c>
      <c r="AW147">
        <f t="shared" si="85"/>
        <v>118</v>
      </c>
      <c r="AX147">
        <f t="shared" si="86"/>
        <v>125.1</v>
      </c>
      <c r="AY147">
        <f t="shared" si="87"/>
        <v>122.6</v>
      </c>
      <c r="AZ147">
        <f t="shared" si="88"/>
        <v>115.2</v>
      </c>
      <c r="BA147">
        <f t="shared" si="89"/>
        <v>122</v>
      </c>
      <c r="BB147">
        <f t="shared" si="90"/>
        <v>132.4</v>
      </c>
      <c r="BC147">
        <f t="shared" si="91"/>
        <v>120.9</v>
      </c>
      <c r="BD147">
        <f t="shared" si="92"/>
        <v>122.1</v>
      </c>
      <c r="BE147">
        <f t="shared" si="93"/>
        <v>127.8</v>
      </c>
      <c r="BF147">
        <f t="shared" si="94"/>
        <v>1713.2</v>
      </c>
      <c r="BG147">
        <f t="shared" si="95"/>
        <v>381.5</v>
      </c>
      <c r="BH147">
        <f t="shared" si="96"/>
        <v>243.5</v>
      </c>
      <c r="BI147">
        <f t="shared" si="97"/>
        <v>387.1</v>
      </c>
      <c r="BJ147">
        <f t="shared" si="98"/>
        <v>389.70000000000005</v>
      </c>
      <c r="BK147">
        <f t="shared" si="99"/>
        <v>233.2</v>
      </c>
    </row>
    <row r="148" spans="1:63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f t="shared" si="67"/>
        <v>132.80000000000001</v>
      </c>
      <c r="AF148">
        <f t="shared" si="68"/>
        <v>138.19999999999999</v>
      </c>
      <c r="AG148">
        <f t="shared" si="69"/>
        <v>132.19999999999999</v>
      </c>
      <c r="AH148">
        <f t="shared" si="70"/>
        <v>135.4</v>
      </c>
      <c r="AI148">
        <f t="shared" si="71"/>
        <v>119.1</v>
      </c>
      <c r="AJ148">
        <f t="shared" si="72"/>
        <v>133</v>
      </c>
      <c r="AK148">
        <f t="shared" si="73"/>
        <v>119.4</v>
      </c>
      <c r="AL148">
        <f t="shared" si="74"/>
        <v>159.5</v>
      </c>
      <c r="AM148">
        <f t="shared" si="75"/>
        <v>115.6</v>
      </c>
      <c r="AN148">
        <f t="shared" si="76"/>
        <v>139.6</v>
      </c>
      <c r="AO148">
        <f t="shared" si="77"/>
        <v>126.6</v>
      </c>
      <c r="AP148">
        <f t="shared" si="78"/>
        <v>142.80000000000001</v>
      </c>
      <c r="AQ148">
        <f t="shared" si="79"/>
        <v>133.1</v>
      </c>
      <c r="AR148">
        <f t="shared" si="80"/>
        <v>143.80000000000001</v>
      </c>
      <c r="AS148">
        <f t="shared" si="81"/>
        <v>136.6</v>
      </c>
      <c r="AT148">
        <f t="shared" si="82"/>
        <v>130.19999999999999</v>
      </c>
      <c r="AU148">
        <f t="shared" si="83"/>
        <v>135.6</v>
      </c>
      <c r="AV148">
        <f t="shared" si="84"/>
        <v>129.6</v>
      </c>
      <c r="AW148">
        <f t="shared" si="85"/>
        <v>126.8</v>
      </c>
      <c r="AX148">
        <f t="shared" si="86"/>
        <v>129.4</v>
      </c>
      <c r="AY148">
        <f t="shared" si="87"/>
        <v>127.1</v>
      </c>
      <c r="AZ148">
        <f t="shared" si="88"/>
        <v>117</v>
      </c>
      <c r="BA148">
        <f t="shared" si="89"/>
        <v>124.2</v>
      </c>
      <c r="BB148">
        <f t="shared" si="90"/>
        <v>133.30000000000001</v>
      </c>
      <c r="BC148">
        <f t="shared" si="91"/>
        <v>121.7</v>
      </c>
      <c r="BD148">
        <f t="shared" si="92"/>
        <v>124.4</v>
      </c>
      <c r="BE148">
        <f t="shared" si="93"/>
        <v>130.30000000000001</v>
      </c>
      <c r="BF148">
        <f t="shared" si="94"/>
        <v>1727.2999999999995</v>
      </c>
      <c r="BG148">
        <f t="shared" si="95"/>
        <v>402.4</v>
      </c>
      <c r="BH148">
        <f t="shared" si="96"/>
        <v>248.8</v>
      </c>
      <c r="BI148">
        <f t="shared" si="97"/>
        <v>392.30000000000007</v>
      </c>
      <c r="BJ148">
        <f t="shared" si="98"/>
        <v>392.4</v>
      </c>
      <c r="BK148">
        <f t="shared" si="99"/>
        <v>243.8</v>
      </c>
    </row>
    <row r="149" spans="1:63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f t="shared" si="67"/>
        <v>133.30000000000001</v>
      </c>
      <c r="AF149">
        <f t="shared" si="68"/>
        <v>138.30000000000001</v>
      </c>
      <c r="AG149">
        <f t="shared" si="69"/>
        <v>129.30000000000001</v>
      </c>
      <c r="AH149">
        <f t="shared" si="70"/>
        <v>137.19999999999999</v>
      </c>
      <c r="AI149">
        <f t="shared" si="71"/>
        <v>122.1</v>
      </c>
      <c r="AJ149">
        <f t="shared" si="72"/>
        <v>138.69999999999999</v>
      </c>
      <c r="AK149">
        <f t="shared" si="73"/>
        <v>119.1</v>
      </c>
      <c r="AL149">
        <f t="shared" si="74"/>
        <v>156.9</v>
      </c>
      <c r="AM149">
        <f t="shared" si="75"/>
        <v>116.2</v>
      </c>
      <c r="AN149">
        <f t="shared" si="76"/>
        <v>136</v>
      </c>
      <c r="AO149">
        <f t="shared" si="77"/>
        <v>129.4</v>
      </c>
      <c r="AP149">
        <f t="shared" si="78"/>
        <v>144.4</v>
      </c>
      <c r="AQ149">
        <f t="shared" si="79"/>
        <v>133.6</v>
      </c>
      <c r="AR149">
        <f t="shared" si="80"/>
        <v>143.69999999999999</v>
      </c>
      <c r="AS149">
        <f t="shared" si="81"/>
        <v>140.9</v>
      </c>
      <c r="AT149">
        <f t="shared" si="82"/>
        <v>135.80000000000001</v>
      </c>
      <c r="AU149">
        <f t="shared" si="83"/>
        <v>140.19999999999999</v>
      </c>
      <c r="AV149">
        <f t="shared" si="84"/>
        <v>130.5</v>
      </c>
      <c r="AW149">
        <f t="shared" si="85"/>
        <v>133.19999999999999</v>
      </c>
      <c r="AX149">
        <f t="shared" si="86"/>
        <v>133.6</v>
      </c>
      <c r="AY149">
        <f t="shared" si="87"/>
        <v>130.1</v>
      </c>
      <c r="AZ149">
        <f t="shared" si="88"/>
        <v>119.5</v>
      </c>
      <c r="BA149">
        <f t="shared" si="89"/>
        <v>127.7</v>
      </c>
      <c r="BB149">
        <f t="shared" si="90"/>
        <v>134.9</v>
      </c>
      <c r="BC149">
        <f t="shared" si="91"/>
        <v>123.2</v>
      </c>
      <c r="BD149">
        <f t="shared" si="92"/>
        <v>127</v>
      </c>
      <c r="BE149">
        <f t="shared" si="93"/>
        <v>132.6</v>
      </c>
      <c r="BF149">
        <f t="shared" si="94"/>
        <v>1734.5000000000002</v>
      </c>
      <c r="BG149">
        <f t="shared" si="95"/>
        <v>416.90000000000003</v>
      </c>
      <c r="BH149">
        <f t="shared" si="96"/>
        <v>253.3</v>
      </c>
      <c r="BI149">
        <f t="shared" si="97"/>
        <v>399</v>
      </c>
      <c r="BJ149">
        <f t="shared" si="98"/>
        <v>398.4</v>
      </c>
      <c r="BK149">
        <f t="shared" si="99"/>
        <v>252.7</v>
      </c>
    </row>
    <row r="150" spans="1:63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f t="shared" si="67"/>
        <v>132.80000000000001</v>
      </c>
      <c r="AF150">
        <f t="shared" si="68"/>
        <v>139.80000000000001</v>
      </c>
      <c r="AG150">
        <f t="shared" si="69"/>
        <v>129.30000000000001</v>
      </c>
      <c r="AH150">
        <f t="shared" si="70"/>
        <v>133.5</v>
      </c>
      <c r="AI150">
        <f t="shared" si="71"/>
        <v>114.3</v>
      </c>
      <c r="AJ150">
        <f t="shared" si="72"/>
        <v>131.4</v>
      </c>
      <c r="AK150">
        <f t="shared" si="73"/>
        <v>120.2</v>
      </c>
      <c r="AL150">
        <f t="shared" si="74"/>
        <v>143.1</v>
      </c>
      <c r="AM150">
        <f t="shared" si="75"/>
        <v>119.5</v>
      </c>
      <c r="AN150">
        <f t="shared" si="76"/>
        <v>144</v>
      </c>
      <c r="AO150">
        <f t="shared" si="77"/>
        <v>123.4</v>
      </c>
      <c r="AP150">
        <f t="shared" si="78"/>
        <v>141.9</v>
      </c>
      <c r="AQ150">
        <f t="shared" si="79"/>
        <v>132.1</v>
      </c>
      <c r="AR150">
        <f t="shared" si="80"/>
        <v>146.30000000000001</v>
      </c>
      <c r="AS150">
        <f t="shared" si="81"/>
        <v>130.5</v>
      </c>
      <c r="AT150">
        <f t="shared" si="82"/>
        <v>122.5</v>
      </c>
      <c r="AU150">
        <f t="shared" si="83"/>
        <v>129.30000000000001</v>
      </c>
      <c r="AV150">
        <f t="shared" si="84"/>
        <v>130.5</v>
      </c>
      <c r="AW150">
        <f t="shared" si="85"/>
        <v>119.2</v>
      </c>
      <c r="AX150">
        <f t="shared" si="86"/>
        <v>125.3</v>
      </c>
      <c r="AY150">
        <f t="shared" si="87"/>
        <v>122.9</v>
      </c>
      <c r="AZ150">
        <f t="shared" si="88"/>
        <v>115.5</v>
      </c>
      <c r="BA150">
        <f t="shared" si="89"/>
        <v>122.2</v>
      </c>
      <c r="BB150">
        <f t="shared" si="90"/>
        <v>132.4</v>
      </c>
      <c r="BC150">
        <f t="shared" si="91"/>
        <v>121.7</v>
      </c>
      <c r="BD150">
        <f t="shared" si="92"/>
        <v>122.4</v>
      </c>
      <c r="BE150">
        <f t="shared" si="93"/>
        <v>128.19999999999999</v>
      </c>
      <c r="BF150">
        <f t="shared" si="94"/>
        <v>1705.3000000000002</v>
      </c>
      <c r="BG150">
        <f t="shared" si="95"/>
        <v>382.3</v>
      </c>
      <c r="BH150">
        <f t="shared" si="96"/>
        <v>244.60000000000002</v>
      </c>
      <c r="BI150">
        <f t="shared" si="97"/>
        <v>388.2</v>
      </c>
      <c r="BJ150">
        <f t="shared" si="98"/>
        <v>390.9</v>
      </c>
      <c r="BK150">
        <f t="shared" si="99"/>
        <v>234.7</v>
      </c>
    </row>
    <row r="151" spans="1:63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f t="shared" si="67"/>
        <v>133.1</v>
      </c>
      <c r="AF151">
        <f t="shared" si="68"/>
        <v>138.80000000000001</v>
      </c>
      <c r="AG151">
        <f t="shared" si="69"/>
        <v>129.30000000000001</v>
      </c>
      <c r="AH151">
        <f t="shared" si="70"/>
        <v>135.80000000000001</v>
      </c>
      <c r="AI151">
        <f t="shared" si="71"/>
        <v>119.2</v>
      </c>
      <c r="AJ151">
        <f t="shared" si="72"/>
        <v>135.30000000000001</v>
      </c>
      <c r="AK151">
        <f t="shared" si="73"/>
        <v>119.5</v>
      </c>
      <c r="AL151">
        <f t="shared" si="74"/>
        <v>152.19999999999999</v>
      </c>
      <c r="AM151">
        <f t="shared" si="75"/>
        <v>117.3</v>
      </c>
      <c r="AN151">
        <f t="shared" si="76"/>
        <v>138.69999999999999</v>
      </c>
      <c r="AO151">
        <f t="shared" si="77"/>
        <v>126.9</v>
      </c>
      <c r="AP151">
        <f t="shared" si="78"/>
        <v>143.19999999999999</v>
      </c>
      <c r="AQ151">
        <f t="shared" si="79"/>
        <v>133</v>
      </c>
      <c r="AR151">
        <f t="shared" si="80"/>
        <v>144.4</v>
      </c>
      <c r="AS151">
        <f t="shared" si="81"/>
        <v>136.80000000000001</v>
      </c>
      <c r="AT151">
        <f t="shared" si="82"/>
        <v>130.30000000000001</v>
      </c>
      <c r="AU151">
        <f t="shared" si="83"/>
        <v>135.9</v>
      </c>
      <c r="AV151">
        <f t="shared" si="84"/>
        <v>130.5</v>
      </c>
      <c r="AW151">
        <f t="shared" si="85"/>
        <v>127.9</v>
      </c>
      <c r="AX151">
        <f t="shared" si="86"/>
        <v>129.69999999999999</v>
      </c>
      <c r="AY151">
        <f t="shared" si="87"/>
        <v>127.4</v>
      </c>
      <c r="AZ151">
        <f t="shared" si="88"/>
        <v>117.4</v>
      </c>
      <c r="BA151">
        <f t="shared" si="89"/>
        <v>124.6</v>
      </c>
      <c r="BB151">
        <f t="shared" si="90"/>
        <v>133.4</v>
      </c>
      <c r="BC151">
        <f t="shared" si="91"/>
        <v>122.6</v>
      </c>
      <c r="BD151">
        <f t="shared" si="92"/>
        <v>124.8</v>
      </c>
      <c r="BE151">
        <f t="shared" si="93"/>
        <v>130.6</v>
      </c>
      <c r="BF151">
        <f t="shared" si="94"/>
        <v>1722.3000000000002</v>
      </c>
      <c r="BG151">
        <f t="shared" si="95"/>
        <v>403</v>
      </c>
      <c r="BH151">
        <f t="shared" si="96"/>
        <v>250</v>
      </c>
      <c r="BI151">
        <f t="shared" si="97"/>
        <v>393.6</v>
      </c>
      <c r="BJ151">
        <f t="shared" si="98"/>
        <v>393.8</v>
      </c>
      <c r="BK151">
        <f t="shared" si="99"/>
        <v>245.3</v>
      </c>
    </row>
    <row r="152" spans="1:63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f t="shared" si="67"/>
        <v>133.6</v>
      </c>
      <c r="AF152">
        <f t="shared" si="68"/>
        <v>138.80000000000001</v>
      </c>
      <c r="AG152">
        <f t="shared" si="69"/>
        <v>128.80000000000001</v>
      </c>
      <c r="AH152">
        <f t="shared" si="70"/>
        <v>137.19999999999999</v>
      </c>
      <c r="AI152">
        <f t="shared" si="71"/>
        <v>121.6</v>
      </c>
      <c r="AJ152">
        <f t="shared" si="72"/>
        <v>139.69999999999999</v>
      </c>
      <c r="AK152">
        <f t="shared" si="73"/>
        <v>119.7</v>
      </c>
      <c r="AL152">
        <f t="shared" si="74"/>
        <v>148</v>
      </c>
      <c r="AM152">
        <f t="shared" si="75"/>
        <v>116.9</v>
      </c>
      <c r="AN152">
        <f t="shared" si="76"/>
        <v>135.6</v>
      </c>
      <c r="AO152">
        <f t="shared" si="77"/>
        <v>129.80000000000001</v>
      </c>
      <c r="AP152">
        <f t="shared" si="78"/>
        <v>145.4</v>
      </c>
      <c r="AQ152">
        <f t="shared" si="79"/>
        <v>133.4</v>
      </c>
      <c r="AR152">
        <f t="shared" si="80"/>
        <v>144.19999999999999</v>
      </c>
      <c r="AS152">
        <f t="shared" si="81"/>
        <v>141.6</v>
      </c>
      <c r="AT152">
        <f t="shared" si="82"/>
        <v>136.19999999999999</v>
      </c>
      <c r="AU152">
        <f t="shared" si="83"/>
        <v>140.80000000000001</v>
      </c>
      <c r="AV152">
        <f t="shared" si="84"/>
        <v>131.1</v>
      </c>
      <c r="AW152">
        <f t="shared" si="85"/>
        <v>134.19999999999999</v>
      </c>
      <c r="AX152">
        <f t="shared" si="86"/>
        <v>134.1</v>
      </c>
      <c r="AY152">
        <f t="shared" si="87"/>
        <v>130.6</v>
      </c>
      <c r="AZ152">
        <f t="shared" si="88"/>
        <v>119.8</v>
      </c>
      <c r="BA152">
        <f t="shared" si="89"/>
        <v>128.30000000000001</v>
      </c>
      <c r="BB152">
        <f t="shared" si="90"/>
        <v>135.19999999999999</v>
      </c>
      <c r="BC152">
        <f t="shared" si="91"/>
        <v>123.3</v>
      </c>
      <c r="BD152">
        <f t="shared" si="92"/>
        <v>127.4</v>
      </c>
      <c r="BE152">
        <f t="shared" si="93"/>
        <v>132.80000000000001</v>
      </c>
      <c r="BF152">
        <f t="shared" si="94"/>
        <v>1728.5000000000002</v>
      </c>
      <c r="BG152">
        <f t="shared" si="95"/>
        <v>418.59999999999997</v>
      </c>
      <c r="BH152">
        <f t="shared" si="96"/>
        <v>253.89999999999998</v>
      </c>
      <c r="BI152">
        <f t="shared" si="97"/>
        <v>400.4</v>
      </c>
      <c r="BJ152">
        <f t="shared" si="98"/>
        <v>399.9</v>
      </c>
      <c r="BK152">
        <f t="shared" si="99"/>
        <v>254</v>
      </c>
    </row>
    <row r="153" spans="1:63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f t="shared" si="67"/>
        <v>132.69999999999999</v>
      </c>
      <c r="AF153">
        <f t="shared" si="68"/>
        <v>139.4</v>
      </c>
      <c r="AG153">
        <f t="shared" si="69"/>
        <v>128.4</v>
      </c>
      <c r="AH153">
        <f t="shared" si="70"/>
        <v>134.9</v>
      </c>
      <c r="AI153">
        <f t="shared" si="71"/>
        <v>114</v>
      </c>
      <c r="AJ153">
        <f t="shared" si="72"/>
        <v>136.80000000000001</v>
      </c>
      <c r="AK153">
        <f t="shared" si="73"/>
        <v>122.2</v>
      </c>
      <c r="AL153">
        <f t="shared" si="74"/>
        <v>135.80000000000001</v>
      </c>
      <c r="AM153">
        <f t="shared" si="75"/>
        <v>120.3</v>
      </c>
      <c r="AN153">
        <f t="shared" si="76"/>
        <v>142.6</v>
      </c>
      <c r="AO153">
        <f t="shared" si="77"/>
        <v>123.6</v>
      </c>
      <c r="AP153">
        <f t="shared" si="78"/>
        <v>142.4</v>
      </c>
      <c r="AQ153">
        <f t="shared" si="79"/>
        <v>132.6</v>
      </c>
      <c r="AR153">
        <f t="shared" si="80"/>
        <v>147.5</v>
      </c>
      <c r="AS153">
        <f t="shared" si="81"/>
        <v>130.80000000000001</v>
      </c>
      <c r="AT153">
        <f t="shared" si="82"/>
        <v>122.8</v>
      </c>
      <c r="AU153">
        <f t="shared" si="83"/>
        <v>129.6</v>
      </c>
      <c r="AV153">
        <f t="shared" si="84"/>
        <v>131.1</v>
      </c>
      <c r="AW153">
        <f t="shared" si="85"/>
        <v>120.8</v>
      </c>
      <c r="AX153">
        <f t="shared" si="86"/>
        <v>125.6</v>
      </c>
      <c r="AY153">
        <f t="shared" si="87"/>
        <v>123.1</v>
      </c>
      <c r="AZ153">
        <f t="shared" si="88"/>
        <v>115.6</v>
      </c>
      <c r="BA153">
        <f t="shared" si="89"/>
        <v>122.4</v>
      </c>
      <c r="BB153">
        <f t="shared" si="90"/>
        <v>132.80000000000001</v>
      </c>
      <c r="BC153">
        <f t="shared" si="91"/>
        <v>121.7</v>
      </c>
      <c r="BD153">
        <f t="shared" si="92"/>
        <v>122.6</v>
      </c>
      <c r="BE153">
        <f t="shared" si="93"/>
        <v>128.69999999999999</v>
      </c>
      <c r="BF153">
        <f t="shared" si="94"/>
        <v>1705.6999999999998</v>
      </c>
      <c r="BG153">
        <f t="shared" si="95"/>
        <v>383.20000000000005</v>
      </c>
      <c r="BH153">
        <f t="shared" si="96"/>
        <v>244.8</v>
      </c>
      <c r="BI153">
        <f t="shared" si="97"/>
        <v>389.5</v>
      </c>
      <c r="BJ153">
        <f t="shared" si="98"/>
        <v>392.5</v>
      </c>
      <c r="BK153">
        <f t="shared" si="99"/>
        <v>236.39999999999998</v>
      </c>
    </row>
    <row r="154" spans="1:63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f t="shared" si="67"/>
        <v>133.30000000000001</v>
      </c>
      <c r="AF154">
        <f t="shared" si="68"/>
        <v>139</v>
      </c>
      <c r="AG154">
        <f t="shared" si="69"/>
        <v>128.6</v>
      </c>
      <c r="AH154">
        <f t="shared" si="70"/>
        <v>136.30000000000001</v>
      </c>
      <c r="AI154">
        <f t="shared" si="71"/>
        <v>118.8</v>
      </c>
      <c r="AJ154">
        <f t="shared" si="72"/>
        <v>138.30000000000001</v>
      </c>
      <c r="AK154">
        <f t="shared" si="73"/>
        <v>120.5</v>
      </c>
      <c r="AL154">
        <f t="shared" si="74"/>
        <v>143.9</v>
      </c>
      <c r="AM154">
        <f t="shared" si="75"/>
        <v>118</v>
      </c>
      <c r="AN154">
        <f t="shared" si="76"/>
        <v>137.9</v>
      </c>
      <c r="AO154">
        <f t="shared" si="77"/>
        <v>127.2</v>
      </c>
      <c r="AP154">
        <f t="shared" si="78"/>
        <v>144</v>
      </c>
      <c r="AQ154">
        <f t="shared" si="79"/>
        <v>133.1</v>
      </c>
      <c r="AR154">
        <f t="shared" si="80"/>
        <v>145.1</v>
      </c>
      <c r="AS154">
        <f t="shared" si="81"/>
        <v>137.30000000000001</v>
      </c>
      <c r="AT154">
        <f t="shared" si="82"/>
        <v>130.6</v>
      </c>
      <c r="AU154">
        <f t="shared" si="83"/>
        <v>136.4</v>
      </c>
      <c r="AV154">
        <f t="shared" si="84"/>
        <v>131.1</v>
      </c>
      <c r="AW154">
        <f t="shared" si="85"/>
        <v>129.1</v>
      </c>
      <c r="AX154">
        <f t="shared" si="86"/>
        <v>130.1</v>
      </c>
      <c r="AY154">
        <f t="shared" si="87"/>
        <v>127.8</v>
      </c>
      <c r="AZ154">
        <f t="shared" si="88"/>
        <v>117.6</v>
      </c>
      <c r="BA154">
        <f t="shared" si="89"/>
        <v>125</v>
      </c>
      <c r="BB154">
        <f t="shared" si="90"/>
        <v>133.80000000000001</v>
      </c>
      <c r="BC154">
        <f t="shared" si="91"/>
        <v>122.6</v>
      </c>
      <c r="BD154">
        <f t="shared" si="92"/>
        <v>125.1</v>
      </c>
      <c r="BE154">
        <f t="shared" si="93"/>
        <v>130.9</v>
      </c>
      <c r="BF154">
        <f t="shared" si="94"/>
        <v>1718.9</v>
      </c>
      <c r="BG154">
        <f t="shared" si="95"/>
        <v>404.29999999999995</v>
      </c>
      <c r="BH154">
        <f t="shared" si="96"/>
        <v>250.39999999999998</v>
      </c>
      <c r="BI154">
        <f t="shared" si="97"/>
        <v>395</v>
      </c>
      <c r="BJ154">
        <f t="shared" si="98"/>
        <v>395.20000000000005</v>
      </c>
      <c r="BK154">
        <f t="shared" si="99"/>
        <v>246.7</v>
      </c>
    </row>
    <row r="155" spans="1:63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f t="shared" si="67"/>
        <v>133.19999999999999</v>
      </c>
      <c r="AF155">
        <f t="shared" si="68"/>
        <v>138.69999999999999</v>
      </c>
      <c r="AG155">
        <f t="shared" si="69"/>
        <v>127.1</v>
      </c>
      <c r="AH155">
        <f t="shared" si="70"/>
        <v>137.69999999999999</v>
      </c>
      <c r="AI155">
        <f t="shared" si="71"/>
        <v>121.3</v>
      </c>
      <c r="AJ155">
        <f t="shared" si="72"/>
        <v>141.80000000000001</v>
      </c>
      <c r="AK155">
        <f t="shared" si="73"/>
        <v>121.5</v>
      </c>
      <c r="AL155">
        <f t="shared" si="74"/>
        <v>144.5</v>
      </c>
      <c r="AM155">
        <f t="shared" si="75"/>
        <v>117.4</v>
      </c>
      <c r="AN155">
        <f t="shared" si="76"/>
        <v>134.1</v>
      </c>
      <c r="AO155">
        <f t="shared" si="77"/>
        <v>130</v>
      </c>
      <c r="AP155">
        <f t="shared" si="78"/>
        <v>145.5</v>
      </c>
      <c r="AQ155">
        <f t="shared" si="79"/>
        <v>133.5</v>
      </c>
      <c r="AR155">
        <f t="shared" si="80"/>
        <v>144.4</v>
      </c>
      <c r="AS155">
        <f t="shared" si="81"/>
        <v>142.4</v>
      </c>
      <c r="AT155">
        <f t="shared" si="82"/>
        <v>136.80000000000001</v>
      </c>
      <c r="AU155">
        <f t="shared" si="83"/>
        <v>141.6</v>
      </c>
      <c r="AV155">
        <f t="shared" si="84"/>
        <v>131.69999999999999</v>
      </c>
      <c r="AW155">
        <f t="shared" si="85"/>
        <v>135</v>
      </c>
      <c r="AX155">
        <f t="shared" si="86"/>
        <v>134.30000000000001</v>
      </c>
      <c r="AY155">
        <f t="shared" si="87"/>
        <v>131</v>
      </c>
      <c r="AZ155">
        <f t="shared" si="88"/>
        <v>119.2</v>
      </c>
      <c r="BA155">
        <f t="shared" si="89"/>
        <v>128.30000000000001</v>
      </c>
      <c r="BB155">
        <f t="shared" si="90"/>
        <v>135.69999999999999</v>
      </c>
      <c r="BC155">
        <f t="shared" si="91"/>
        <v>123.7</v>
      </c>
      <c r="BD155">
        <f t="shared" si="92"/>
        <v>127.5</v>
      </c>
      <c r="BE155">
        <f t="shared" si="93"/>
        <v>132.9</v>
      </c>
      <c r="BF155">
        <f t="shared" si="94"/>
        <v>1726.3</v>
      </c>
      <c r="BG155">
        <f t="shared" si="95"/>
        <v>420.80000000000007</v>
      </c>
      <c r="BH155">
        <f t="shared" si="96"/>
        <v>254.7</v>
      </c>
      <c r="BI155">
        <f t="shared" si="97"/>
        <v>401.7</v>
      </c>
      <c r="BJ155">
        <f t="shared" si="98"/>
        <v>400.20000000000005</v>
      </c>
      <c r="BK155">
        <f t="shared" si="99"/>
        <v>254.2</v>
      </c>
    </row>
    <row r="156" spans="1:63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f t="shared" si="67"/>
        <v>132.69999999999999</v>
      </c>
      <c r="AF156">
        <f t="shared" si="68"/>
        <v>140.6</v>
      </c>
      <c r="AG156">
        <f t="shared" si="69"/>
        <v>124.5</v>
      </c>
      <c r="AH156">
        <f t="shared" si="70"/>
        <v>136.30000000000001</v>
      </c>
      <c r="AI156">
        <f t="shared" si="71"/>
        <v>113.5</v>
      </c>
      <c r="AJ156">
        <f t="shared" si="72"/>
        <v>137.69999999999999</v>
      </c>
      <c r="AK156">
        <f t="shared" si="73"/>
        <v>127.1</v>
      </c>
      <c r="AL156">
        <f t="shared" si="74"/>
        <v>133.80000000000001</v>
      </c>
      <c r="AM156">
        <f t="shared" si="75"/>
        <v>120.8</v>
      </c>
      <c r="AN156">
        <f t="shared" si="76"/>
        <v>141.30000000000001</v>
      </c>
      <c r="AO156">
        <f t="shared" si="77"/>
        <v>123.8</v>
      </c>
      <c r="AP156">
        <f t="shared" si="78"/>
        <v>142.6</v>
      </c>
      <c r="AQ156">
        <f t="shared" si="79"/>
        <v>133.4</v>
      </c>
      <c r="AR156">
        <f t="shared" si="80"/>
        <v>148</v>
      </c>
      <c r="AS156">
        <f t="shared" si="81"/>
        <v>131.19999999999999</v>
      </c>
      <c r="AT156">
        <f t="shared" si="82"/>
        <v>123</v>
      </c>
      <c r="AU156">
        <f t="shared" si="83"/>
        <v>130</v>
      </c>
      <c r="AV156">
        <f t="shared" si="84"/>
        <v>131.69999999999999</v>
      </c>
      <c r="AW156">
        <f t="shared" si="85"/>
        <v>121.4</v>
      </c>
      <c r="AX156">
        <f t="shared" si="86"/>
        <v>126</v>
      </c>
      <c r="AY156">
        <f t="shared" si="87"/>
        <v>123.4</v>
      </c>
      <c r="AZ156">
        <f t="shared" si="88"/>
        <v>114.3</v>
      </c>
      <c r="BA156">
        <f t="shared" si="89"/>
        <v>122.6</v>
      </c>
      <c r="BB156">
        <f t="shared" si="90"/>
        <v>133.6</v>
      </c>
      <c r="BC156">
        <f t="shared" si="91"/>
        <v>122.2</v>
      </c>
      <c r="BD156">
        <f t="shared" si="92"/>
        <v>122.5</v>
      </c>
      <c r="BE156">
        <f t="shared" si="93"/>
        <v>129.1</v>
      </c>
      <c r="BF156">
        <f t="shared" si="94"/>
        <v>1708.1</v>
      </c>
      <c r="BG156">
        <f t="shared" si="95"/>
        <v>384.2</v>
      </c>
      <c r="BH156">
        <f t="shared" si="96"/>
        <v>245.60000000000002</v>
      </c>
      <c r="BI156">
        <f t="shared" si="97"/>
        <v>391.3</v>
      </c>
      <c r="BJ156">
        <f t="shared" si="98"/>
        <v>393.1</v>
      </c>
      <c r="BK156">
        <f t="shared" si="99"/>
        <v>235.7</v>
      </c>
    </row>
    <row r="157" spans="1:63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f t="shared" si="67"/>
        <v>133</v>
      </c>
      <c r="AF157">
        <f t="shared" si="68"/>
        <v>139.4</v>
      </c>
      <c r="AG157">
        <f t="shared" si="69"/>
        <v>126.1</v>
      </c>
      <c r="AH157">
        <f t="shared" si="70"/>
        <v>137.19999999999999</v>
      </c>
      <c r="AI157">
        <f t="shared" si="71"/>
        <v>118.4</v>
      </c>
      <c r="AJ157">
        <f t="shared" si="72"/>
        <v>139.9</v>
      </c>
      <c r="AK157">
        <f t="shared" si="73"/>
        <v>123.4</v>
      </c>
      <c r="AL157">
        <f t="shared" si="74"/>
        <v>140.9</v>
      </c>
      <c r="AM157">
        <f t="shared" si="75"/>
        <v>118.5</v>
      </c>
      <c r="AN157">
        <f t="shared" si="76"/>
        <v>136.5</v>
      </c>
      <c r="AO157">
        <f t="shared" si="77"/>
        <v>127.4</v>
      </c>
      <c r="AP157">
        <f t="shared" si="78"/>
        <v>144.19999999999999</v>
      </c>
      <c r="AQ157">
        <f t="shared" si="79"/>
        <v>133.5</v>
      </c>
      <c r="AR157">
        <f t="shared" si="80"/>
        <v>145.4</v>
      </c>
      <c r="AS157">
        <f t="shared" si="81"/>
        <v>138</v>
      </c>
      <c r="AT157">
        <f t="shared" si="82"/>
        <v>131.1</v>
      </c>
      <c r="AU157">
        <f t="shared" si="83"/>
        <v>137</v>
      </c>
      <c r="AV157">
        <f t="shared" si="84"/>
        <v>131.69999999999999</v>
      </c>
      <c r="AW157">
        <f t="shared" si="85"/>
        <v>129.80000000000001</v>
      </c>
      <c r="AX157">
        <f t="shared" si="86"/>
        <v>130.4</v>
      </c>
      <c r="AY157">
        <f t="shared" si="87"/>
        <v>128.1</v>
      </c>
      <c r="AZ157">
        <f t="shared" si="88"/>
        <v>116.6</v>
      </c>
      <c r="BA157">
        <f t="shared" si="89"/>
        <v>125.1</v>
      </c>
      <c r="BB157">
        <f t="shared" si="90"/>
        <v>134.5</v>
      </c>
      <c r="BC157">
        <f t="shared" si="91"/>
        <v>123.1</v>
      </c>
      <c r="BD157">
        <f t="shared" si="92"/>
        <v>125.1</v>
      </c>
      <c r="BE157">
        <f t="shared" si="93"/>
        <v>131.1</v>
      </c>
      <c r="BF157">
        <f t="shared" si="94"/>
        <v>1718.4</v>
      </c>
      <c r="BG157">
        <f t="shared" si="95"/>
        <v>406.1</v>
      </c>
      <c r="BH157">
        <f t="shared" si="96"/>
        <v>251.2</v>
      </c>
      <c r="BI157">
        <f t="shared" si="97"/>
        <v>396.59999999999997</v>
      </c>
      <c r="BJ157">
        <f t="shared" si="98"/>
        <v>395.6</v>
      </c>
      <c r="BK157">
        <f t="shared" si="99"/>
        <v>246.4</v>
      </c>
    </row>
    <row r="158" spans="1:63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f t="shared" si="67"/>
        <v>133.1</v>
      </c>
      <c r="AF158">
        <f t="shared" si="68"/>
        <v>140.30000000000001</v>
      </c>
      <c r="AG158">
        <f t="shared" si="69"/>
        <v>126.8</v>
      </c>
      <c r="AH158">
        <f t="shared" si="70"/>
        <v>138.19999999999999</v>
      </c>
      <c r="AI158">
        <f t="shared" si="71"/>
        <v>120.8</v>
      </c>
      <c r="AJ158">
        <f t="shared" si="72"/>
        <v>140.19999999999999</v>
      </c>
      <c r="AK158">
        <f t="shared" si="73"/>
        <v>123.8</v>
      </c>
      <c r="AL158">
        <f t="shared" si="74"/>
        <v>141.80000000000001</v>
      </c>
      <c r="AM158">
        <f t="shared" si="75"/>
        <v>118.6</v>
      </c>
      <c r="AN158">
        <f t="shared" si="76"/>
        <v>134</v>
      </c>
      <c r="AO158">
        <f t="shared" si="77"/>
        <v>130.30000000000001</v>
      </c>
      <c r="AP158">
        <f t="shared" si="78"/>
        <v>145.80000000000001</v>
      </c>
      <c r="AQ158">
        <f t="shared" si="79"/>
        <v>133.80000000000001</v>
      </c>
      <c r="AR158">
        <f t="shared" si="80"/>
        <v>145.5</v>
      </c>
      <c r="AS158">
        <f t="shared" si="81"/>
        <v>142.5</v>
      </c>
      <c r="AT158">
        <f t="shared" si="82"/>
        <v>137.30000000000001</v>
      </c>
      <c r="AU158">
        <f t="shared" si="83"/>
        <v>141.80000000000001</v>
      </c>
      <c r="AV158">
        <f t="shared" si="84"/>
        <v>132.1</v>
      </c>
      <c r="AW158">
        <f t="shared" si="85"/>
        <v>135</v>
      </c>
      <c r="AX158">
        <f t="shared" si="86"/>
        <v>134.9</v>
      </c>
      <c r="AY158">
        <f t="shared" si="87"/>
        <v>131.4</v>
      </c>
      <c r="AZ158">
        <f t="shared" si="88"/>
        <v>119.4</v>
      </c>
      <c r="BA158">
        <f t="shared" si="89"/>
        <v>129.4</v>
      </c>
      <c r="BB158">
        <f t="shared" si="90"/>
        <v>136.30000000000001</v>
      </c>
      <c r="BC158">
        <f t="shared" si="91"/>
        <v>123.7</v>
      </c>
      <c r="BD158">
        <f t="shared" si="92"/>
        <v>127.9</v>
      </c>
      <c r="BE158">
        <f t="shared" si="93"/>
        <v>133.30000000000001</v>
      </c>
      <c r="BF158">
        <f t="shared" si="94"/>
        <v>1727.4999999999995</v>
      </c>
      <c r="BG158">
        <f t="shared" si="95"/>
        <v>421.6</v>
      </c>
      <c r="BH158">
        <f t="shared" si="96"/>
        <v>255.10000000000002</v>
      </c>
      <c r="BI158">
        <f t="shared" si="97"/>
        <v>403.30000000000007</v>
      </c>
      <c r="BJ158">
        <f t="shared" si="98"/>
        <v>402.79999999999995</v>
      </c>
      <c r="BK158">
        <f t="shared" si="99"/>
        <v>254.4</v>
      </c>
    </row>
    <row r="159" spans="1:63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f t="shared" si="67"/>
        <v>132.6</v>
      </c>
      <c r="AF159">
        <f t="shared" si="68"/>
        <v>144.1</v>
      </c>
      <c r="AG159">
        <f t="shared" si="69"/>
        <v>125.6</v>
      </c>
      <c r="AH159">
        <f t="shared" si="70"/>
        <v>136.80000000000001</v>
      </c>
      <c r="AI159">
        <f t="shared" si="71"/>
        <v>113.4</v>
      </c>
      <c r="AJ159">
        <f t="shared" si="72"/>
        <v>135.19999999999999</v>
      </c>
      <c r="AK159">
        <f t="shared" si="73"/>
        <v>129.19999999999999</v>
      </c>
      <c r="AL159">
        <f t="shared" si="74"/>
        <v>131.5</v>
      </c>
      <c r="AM159">
        <f t="shared" si="75"/>
        <v>121</v>
      </c>
      <c r="AN159">
        <f t="shared" si="76"/>
        <v>139.9</v>
      </c>
      <c r="AO159">
        <f t="shared" si="77"/>
        <v>123.8</v>
      </c>
      <c r="AP159">
        <f t="shared" si="78"/>
        <v>142.9</v>
      </c>
      <c r="AQ159">
        <f t="shared" si="79"/>
        <v>133.6</v>
      </c>
      <c r="AR159">
        <f t="shared" si="80"/>
        <v>148.30000000000001</v>
      </c>
      <c r="AS159">
        <f t="shared" si="81"/>
        <v>131.5</v>
      </c>
      <c r="AT159">
        <f t="shared" si="82"/>
        <v>123.2</v>
      </c>
      <c r="AU159">
        <f t="shared" si="83"/>
        <v>130.19999999999999</v>
      </c>
      <c r="AV159">
        <f t="shared" si="84"/>
        <v>132.1</v>
      </c>
      <c r="AW159">
        <f t="shared" si="85"/>
        <v>120.1</v>
      </c>
      <c r="AX159">
        <f t="shared" si="86"/>
        <v>126.5</v>
      </c>
      <c r="AY159">
        <f t="shared" si="87"/>
        <v>123.6</v>
      </c>
      <c r="AZ159">
        <f t="shared" si="88"/>
        <v>114.3</v>
      </c>
      <c r="BA159">
        <f t="shared" si="89"/>
        <v>122.8</v>
      </c>
      <c r="BB159">
        <f t="shared" si="90"/>
        <v>133.80000000000001</v>
      </c>
      <c r="BC159">
        <f t="shared" si="91"/>
        <v>122</v>
      </c>
      <c r="BD159">
        <f t="shared" si="92"/>
        <v>122.6</v>
      </c>
      <c r="BE159">
        <f t="shared" si="93"/>
        <v>129.30000000000001</v>
      </c>
      <c r="BF159">
        <f t="shared" si="94"/>
        <v>1709.6</v>
      </c>
      <c r="BG159">
        <f t="shared" si="95"/>
        <v>384.9</v>
      </c>
      <c r="BH159">
        <f t="shared" si="96"/>
        <v>245.6</v>
      </c>
      <c r="BI159">
        <f t="shared" si="97"/>
        <v>392.4</v>
      </c>
      <c r="BJ159">
        <f t="shared" si="98"/>
        <v>393.70000000000005</v>
      </c>
      <c r="BK159">
        <f t="shared" si="99"/>
        <v>234.39999999999998</v>
      </c>
    </row>
    <row r="160" spans="1:63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f t="shared" si="67"/>
        <v>132.9</v>
      </c>
      <c r="AF160">
        <f t="shared" si="68"/>
        <v>141.6</v>
      </c>
      <c r="AG160">
        <f t="shared" si="69"/>
        <v>126.3</v>
      </c>
      <c r="AH160">
        <f t="shared" si="70"/>
        <v>137.69999999999999</v>
      </c>
      <c r="AI160">
        <f t="shared" si="71"/>
        <v>118.1</v>
      </c>
      <c r="AJ160">
        <f t="shared" si="72"/>
        <v>137.9</v>
      </c>
      <c r="AK160">
        <f t="shared" si="73"/>
        <v>125.6</v>
      </c>
      <c r="AL160">
        <f t="shared" si="74"/>
        <v>138.30000000000001</v>
      </c>
      <c r="AM160">
        <f t="shared" si="75"/>
        <v>119.4</v>
      </c>
      <c r="AN160">
        <f t="shared" si="76"/>
        <v>136</v>
      </c>
      <c r="AO160">
        <f t="shared" si="77"/>
        <v>127.6</v>
      </c>
      <c r="AP160">
        <f t="shared" si="78"/>
        <v>144.5</v>
      </c>
      <c r="AQ160">
        <f t="shared" si="79"/>
        <v>133.69999999999999</v>
      </c>
      <c r="AR160">
        <f t="shared" si="80"/>
        <v>146.19999999999999</v>
      </c>
      <c r="AS160">
        <f t="shared" si="81"/>
        <v>138.19999999999999</v>
      </c>
      <c r="AT160">
        <f t="shared" si="82"/>
        <v>131.4</v>
      </c>
      <c r="AU160">
        <f t="shared" si="83"/>
        <v>137.19999999999999</v>
      </c>
      <c r="AV160">
        <f t="shared" si="84"/>
        <v>132.1</v>
      </c>
      <c r="AW160">
        <f t="shared" si="85"/>
        <v>129.4</v>
      </c>
      <c r="AX160">
        <f t="shared" si="86"/>
        <v>130.9</v>
      </c>
      <c r="AY160">
        <f t="shared" si="87"/>
        <v>128.4</v>
      </c>
      <c r="AZ160">
        <f t="shared" si="88"/>
        <v>116.7</v>
      </c>
      <c r="BA160">
        <f t="shared" si="89"/>
        <v>125.7</v>
      </c>
      <c r="BB160">
        <f t="shared" si="90"/>
        <v>134.80000000000001</v>
      </c>
      <c r="BC160">
        <f t="shared" si="91"/>
        <v>123</v>
      </c>
      <c r="BD160">
        <f t="shared" si="92"/>
        <v>125.3</v>
      </c>
      <c r="BE160">
        <f t="shared" si="93"/>
        <v>131.4</v>
      </c>
      <c r="BF160">
        <f t="shared" si="94"/>
        <v>1719.6000000000001</v>
      </c>
      <c r="BG160">
        <f t="shared" si="95"/>
        <v>406.8</v>
      </c>
      <c r="BH160">
        <f t="shared" si="96"/>
        <v>251.4</v>
      </c>
      <c r="BI160">
        <f t="shared" si="97"/>
        <v>397.80000000000007</v>
      </c>
      <c r="BJ160">
        <f t="shared" si="98"/>
        <v>397.2</v>
      </c>
      <c r="BK160">
        <f t="shared" si="99"/>
        <v>246.10000000000002</v>
      </c>
    </row>
    <row r="161" spans="1:63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f t="shared" si="67"/>
        <v>133.5</v>
      </c>
      <c r="AF161">
        <f t="shared" si="68"/>
        <v>143.69999999999999</v>
      </c>
      <c r="AG161">
        <f t="shared" si="69"/>
        <v>128</v>
      </c>
      <c r="AH161">
        <f t="shared" si="70"/>
        <v>138.6</v>
      </c>
      <c r="AI161">
        <f t="shared" si="71"/>
        <v>120.9</v>
      </c>
      <c r="AJ161">
        <f t="shared" si="72"/>
        <v>140.9</v>
      </c>
      <c r="AK161">
        <f t="shared" si="73"/>
        <v>128.80000000000001</v>
      </c>
      <c r="AL161">
        <f t="shared" si="74"/>
        <v>140.19999999999999</v>
      </c>
      <c r="AM161">
        <f t="shared" si="75"/>
        <v>118.9</v>
      </c>
      <c r="AN161">
        <f t="shared" si="76"/>
        <v>133.5</v>
      </c>
      <c r="AO161">
        <f t="shared" si="77"/>
        <v>130.4</v>
      </c>
      <c r="AP161">
        <f t="shared" si="78"/>
        <v>146.5</v>
      </c>
      <c r="AQ161">
        <f t="shared" si="79"/>
        <v>134.9</v>
      </c>
      <c r="AR161">
        <f t="shared" si="80"/>
        <v>145.80000000000001</v>
      </c>
      <c r="AS161">
        <f t="shared" si="81"/>
        <v>143.1</v>
      </c>
      <c r="AT161">
        <f t="shared" si="82"/>
        <v>137.69999999999999</v>
      </c>
      <c r="AU161">
        <f t="shared" si="83"/>
        <v>142.30000000000001</v>
      </c>
      <c r="AV161">
        <f t="shared" si="84"/>
        <v>131.4</v>
      </c>
      <c r="AW161">
        <f t="shared" si="85"/>
        <v>134.80000000000001</v>
      </c>
      <c r="AX161">
        <f t="shared" si="86"/>
        <v>135.19999999999999</v>
      </c>
      <c r="AY161">
        <f t="shared" si="87"/>
        <v>131.30000000000001</v>
      </c>
      <c r="AZ161">
        <f t="shared" si="88"/>
        <v>119.4</v>
      </c>
      <c r="BA161">
        <f t="shared" si="89"/>
        <v>129.80000000000001</v>
      </c>
      <c r="BB161">
        <f t="shared" si="90"/>
        <v>136.9</v>
      </c>
      <c r="BC161">
        <f t="shared" si="91"/>
        <v>124.1</v>
      </c>
      <c r="BD161">
        <f t="shared" si="92"/>
        <v>128.1</v>
      </c>
      <c r="BE161">
        <f t="shared" si="93"/>
        <v>133.9</v>
      </c>
      <c r="BF161">
        <f t="shared" si="94"/>
        <v>1738.8000000000002</v>
      </c>
      <c r="BG161">
        <f t="shared" si="95"/>
        <v>423.09999999999997</v>
      </c>
      <c r="BH161">
        <f t="shared" si="96"/>
        <v>255.4</v>
      </c>
      <c r="BI161">
        <f t="shared" si="97"/>
        <v>403.5</v>
      </c>
      <c r="BJ161">
        <f t="shared" si="98"/>
        <v>403.70000000000005</v>
      </c>
      <c r="BK161">
        <f t="shared" si="99"/>
        <v>254.20000000000002</v>
      </c>
    </row>
    <row r="162" spans="1:63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f t="shared" si="67"/>
        <v>132.9</v>
      </c>
      <c r="AF162">
        <f t="shared" si="68"/>
        <v>148.69999999999999</v>
      </c>
      <c r="AG162">
        <f t="shared" si="69"/>
        <v>128.30000000000001</v>
      </c>
      <c r="AH162">
        <f t="shared" si="70"/>
        <v>137.30000000000001</v>
      </c>
      <c r="AI162">
        <f t="shared" si="71"/>
        <v>113.5</v>
      </c>
      <c r="AJ162">
        <f t="shared" si="72"/>
        <v>137.19999999999999</v>
      </c>
      <c r="AK162">
        <f t="shared" si="73"/>
        <v>142.19999999999999</v>
      </c>
      <c r="AL162">
        <f t="shared" si="74"/>
        <v>128.19999999999999</v>
      </c>
      <c r="AM162">
        <f t="shared" si="75"/>
        <v>120.9</v>
      </c>
      <c r="AN162">
        <f t="shared" si="76"/>
        <v>138.80000000000001</v>
      </c>
      <c r="AO162">
        <f t="shared" si="77"/>
        <v>124.2</v>
      </c>
      <c r="AP162">
        <f t="shared" si="78"/>
        <v>143.1</v>
      </c>
      <c r="AQ162">
        <f t="shared" si="79"/>
        <v>135.69999999999999</v>
      </c>
      <c r="AR162">
        <f t="shared" si="80"/>
        <v>148.6</v>
      </c>
      <c r="AS162">
        <f t="shared" si="81"/>
        <v>131.5</v>
      </c>
      <c r="AT162">
        <f t="shared" si="82"/>
        <v>123.2</v>
      </c>
      <c r="AU162">
        <f t="shared" si="83"/>
        <v>130.19999999999999</v>
      </c>
      <c r="AV162">
        <f t="shared" si="84"/>
        <v>131.4</v>
      </c>
      <c r="AW162">
        <f t="shared" si="85"/>
        <v>119</v>
      </c>
      <c r="AX162">
        <f t="shared" si="86"/>
        <v>126.8</v>
      </c>
      <c r="AY162">
        <f t="shared" si="87"/>
        <v>123.8</v>
      </c>
      <c r="AZ162">
        <f t="shared" si="88"/>
        <v>113.9</v>
      </c>
      <c r="BA162">
        <f t="shared" si="89"/>
        <v>122.9</v>
      </c>
      <c r="BB162">
        <f t="shared" si="90"/>
        <v>134.30000000000001</v>
      </c>
      <c r="BC162">
        <f t="shared" si="91"/>
        <v>122.5</v>
      </c>
      <c r="BD162">
        <f t="shared" si="92"/>
        <v>122.7</v>
      </c>
      <c r="BE162">
        <f t="shared" si="93"/>
        <v>129.9</v>
      </c>
      <c r="BF162">
        <f t="shared" si="94"/>
        <v>1731.0000000000002</v>
      </c>
      <c r="BG162">
        <f t="shared" si="95"/>
        <v>384.9</v>
      </c>
      <c r="BH162">
        <f t="shared" si="96"/>
        <v>246.3</v>
      </c>
      <c r="BI162">
        <f t="shared" si="97"/>
        <v>392.5</v>
      </c>
      <c r="BJ162">
        <f t="shared" si="98"/>
        <v>394.2</v>
      </c>
      <c r="BK162">
        <f t="shared" si="99"/>
        <v>232.9</v>
      </c>
    </row>
    <row r="163" spans="1:63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f t="shared" si="67"/>
        <v>133.30000000000001</v>
      </c>
      <c r="AF163">
        <f t="shared" si="68"/>
        <v>145.5</v>
      </c>
      <c r="AG163">
        <f t="shared" si="69"/>
        <v>128.1</v>
      </c>
      <c r="AH163">
        <f t="shared" si="70"/>
        <v>138.1</v>
      </c>
      <c r="AI163">
        <f t="shared" si="71"/>
        <v>118.2</v>
      </c>
      <c r="AJ163">
        <f t="shared" si="72"/>
        <v>139.19999999999999</v>
      </c>
      <c r="AK163">
        <f t="shared" si="73"/>
        <v>133.30000000000001</v>
      </c>
      <c r="AL163">
        <f t="shared" si="74"/>
        <v>136.19999999999999</v>
      </c>
      <c r="AM163">
        <f t="shared" si="75"/>
        <v>119.6</v>
      </c>
      <c r="AN163">
        <f t="shared" si="76"/>
        <v>135.30000000000001</v>
      </c>
      <c r="AO163">
        <f t="shared" si="77"/>
        <v>127.8</v>
      </c>
      <c r="AP163">
        <f t="shared" si="78"/>
        <v>144.9</v>
      </c>
      <c r="AQ163">
        <f t="shared" si="79"/>
        <v>135.19999999999999</v>
      </c>
      <c r="AR163">
        <f t="shared" si="80"/>
        <v>146.5</v>
      </c>
      <c r="AS163">
        <f t="shared" si="81"/>
        <v>138.5</v>
      </c>
      <c r="AT163">
        <f t="shared" si="82"/>
        <v>131.69999999999999</v>
      </c>
      <c r="AU163">
        <f t="shared" si="83"/>
        <v>137.5</v>
      </c>
      <c r="AV163">
        <f t="shared" si="84"/>
        <v>131.4</v>
      </c>
      <c r="AW163">
        <f t="shared" si="85"/>
        <v>128.80000000000001</v>
      </c>
      <c r="AX163">
        <f t="shared" si="86"/>
        <v>131.19999999999999</v>
      </c>
      <c r="AY163">
        <f t="shared" si="87"/>
        <v>128.5</v>
      </c>
      <c r="AZ163">
        <f t="shared" si="88"/>
        <v>116.5</v>
      </c>
      <c r="BA163">
        <f t="shared" si="89"/>
        <v>125.9</v>
      </c>
      <c r="BB163">
        <f t="shared" si="90"/>
        <v>135.4</v>
      </c>
      <c r="BC163">
        <f t="shared" si="91"/>
        <v>123.4</v>
      </c>
      <c r="BD163">
        <f t="shared" si="92"/>
        <v>125.5</v>
      </c>
      <c r="BE163">
        <f t="shared" si="93"/>
        <v>132</v>
      </c>
      <c r="BF163">
        <f t="shared" si="94"/>
        <v>1734.7</v>
      </c>
      <c r="BG163">
        <f t="shared" si="95"/>
        <v>407.7</v>
      </c>
      <c r="BH163">
        <f t="shared" si="96"/>
        <v>251.9</v>
      </c>
      <c r="BI163">
        <f t="shared" si="97"/>
        <v>398</v>
      </c>
      <c r="BJ163">
        <f t="shared" si="98"/>
        <v>397.9</v>
      </c>
      <c r="BK163">
        <f t="shared" si="99"/>
        <v>245.3</v>
      </c>
    </row>
    <row r="164" spans="1:63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f t="shared" si="67"/>
        <v>134</v>
      </c>
      <c r="AF164">
        <f t="shared" si="68"/>
        <v>144.19999999999999</v>
      </c>
      <c r="AG164">
        <f t="shared" si="69"/>
        <v>129.80000000000001</v>
      </c>
      <c r="AH164">
        <f t="shared" si="70"/>
        <v>139</v>
      </c>
      <c r="AI164">
        <f t="shared" si="71"/>
        <v>120.9</v>
      </c>
      <c r="AJ164">
        <f t="shared" si="72"/>
        <v>143.9</v>
      </c>
      <c r="AK164">
        <f t="shared" si="73"/>
        <v>151.5</v>
      </c>
      <c r="AL164">
        <f t="shared" si="74"/>
        <v>138.1</v>
      </c>
      <c r="AM164">
        <f t="shared" si="75"/>
        <v>120</v>
      </c>
      <c r="AN164">
        <f t="shared" si="76"/>
        <v>133.9</v>
      </c>
      <c r="AO164">
        <f t="shared" si="77"/>
        <v>131.4</v>
      </c>
      <c r="AP164">
        <f t="shared" si="78"/>
        <v>147.69999999999999</v>
      </c>
      <c r="AQ164">
        <f t="shared" si="79"/>
        <v>138.5</v>
      </c>
      <c r="AR164">
        <f t="shared" si="80"/>
        <v>147.4</v>
      </c>
      <c r="AS164">
        <f t="shared" si="81"/>
        <v>144.30000000000001</v>
      </c>
      <c r="AT164">
        <f t="shared" si="82"/>
        <v>138.1</v>
      </c>
      <c r="AU164">
        <f t="shared" si="83"/>
        <v>143.5</v>
      </c>
      <c r="AV164">
        <f t="shared" si="84"/>
        <v>132.6</v>
      </c>
      <c r="AW164">
        <f t="shared" si="85"/>
        <v>135.30000000000001</v>
      </c>
      <c r="AX164">
        <f t="shared" si="86"/>
        <v>136.1</v>
      </c>
      <c r="AY164">
        <f t="shared" si="87"/>
        <v>132.1</v>
      </c>
      <c r="AZ164">
        <f t="shared" si="88"/>
        <v>119.1</v>
      </c>
      <c r="BA164">
        <f t="shared" si="89"/>
        <v>130.6</v>
      </c>
      <c r="BB164">
        <f t="shared" si="90"/>
        <v>138.6</v>
      </c>
      <c r="BC164">
        <f t="shared" si="91"/>
        <v>124.4</v>
      </c>
      <c r="BD164">
        <f t="shared" si="92"/>
        <v>128.6</v>
      </c>
      <c r="BE164">
        <f t="shared" si="93"/>
        <v>136.19999999999999</v>
      </c>
      <c r="BF164">
        <f t="shared" si="94"/>
        <v>1772.9</v>
      </c>
      <c r="BG164">
        <f t="shared" si="95"/>
        <v>425.9</v>
      </c>
      <c r="BH164">
        <f t="shared" si="96"/>
        <v>256.5</v>
      </c>
      <c r="BI164">
        <f t="shared" si="97"/>
        <v>407.29999999999995</v>
      </c>
      <c r="BJ164">
        <f t="shared" si="98"/>
        <v>406.6</v>
      </c>
      <c r="BK164">
        <f t="shared" si="99"/>
        <v>254.4</v>
      </c>
    </row>
    <row r="165" spans="1:63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f t="shared" si="67"/>
        <v>132.80000000000001</v>
      </c>
      <c r="AF165">
        <f t="shared" si="68"/>
        <v>148.4</v>
      </c>
      <c r="AG165">
        <f t="shared" si="69"/>
        <v>129.4</v>
      </c>
      <c r="AH165">
        <f t="shared" si="70"/>
        <v>137.69999999999999</v>
      </c>
      <c r="AI165">
        <f t="shared" si="71"/>
        <v>113.4</v>
      </c>
      <c r="AJ165">
        <f t="shared" si="72"/>
        <v>139.4</v>
      </c>
      <c r="AK165">
        <f t="shared" si="73"/>
        <v>175.1</v>
      </c>
      <c r="AL165">
        <f t="shared" si="74"/>
        <v>124.7</v>
      </c>
      <c r="AM165">
        <f t="shared" si="75"/>
        <v>121.5</v>
      </c>
      <c r="AN165">
        <f t="shared" si="76"/>
        <v>137.80000000000001</v>
      </c>
      <c r="AO165">
        <f t="shared" si="77"/>
        <v>124.4</v>
      </c>
      <c r="AP165">
        <f t="shared" si="78"/>
        <v>143.69999999999999</v>
      </c>
      <c r="AQ165">
        <f t="shared" si="79"/>
        <v>139.80000000000001</v>
      </c>
      <c r="AR165">
        <f t="shared" si="80"/>
        <v>150.5</v>
      </c>
      <c r="AS165">
        <f t="shared" si="81"/>
        <v>131.6</v>
      </c>
      <c r="AT165">
        <f t="shared" si="82"/>
        <v>123.7</v>
      </c>
      <c r="AU165">
        <f t="shared" si="83"/>
        <v>130.4</v>
      </c>
      <c r="AV165">
        <f t="shared" si="84"/>
        <v>132.6</v>
      </c>
      <c r="AW165">
        <f t="shared" si="85"/>
        <v>119.7</v>
      </c>
      <c r="AX165">
        <f t="shared" si="86"/>
        <v>127.2</v>
      </c>
      <c r="AY165">
        <f t="shared" si="87"/>
        <v>125</v>
      </c>
      <c r="AZ165">
        <f t="shared" si="88"/>
        <v>113.2</v>
      </c>
      <c r="BA165">
        <f t="shared" si="89"/>
        <v>123.5</v>
      </c>
      <c r="BB165">
        <f t="shared" si="90"/>
        <v>135.5</v>
      </c>
      <c r="BC165">
        <f t="shared" si="91"/>
        <v>122.4</v>
      </c>
      <c r="BD165">
        <f t="shared" si="92"/>
        <v>123</v>
      </c>
      <c r="BE165">
        <f t="shared" si="93"/>
        <v>131.80000000000001</v>
      </c>
      <c r="BF165">
        <f t="shared" si="94"/>
        <v>1768.1</v>
      </c>
      <c r="BG165">
        <f t="shared" si="95"/>
        <v>385.70000000000005</v>
      </c>
      <c r="BH165">
        <f t="shared" si="96"/>
        <v>247.4</v>
      </c>
      <c r="BI165">
        <f t="shared" si="97"/>
        <v>395.29999999999995</v>
      </c>
      <c r="BJ165">
        <f t="shared" si="98"/>
        <v>397</v>
      </c>
      <c r="BK165">
        <f t="shared" si="99"/>
        <v>232.9</v>
      </c>
    </row>
    <row r="166" spans="1:63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f t="shared" si="67"/>
        <v>133.6</v>
      </c>
      <c r="AF166">
        <f t="shared" si="68"/>
        <v>145.69999999999999</v>
      </c>
      <c r="AG166">
        <f t="shared" si="69"/>
        <v>129.6</v>
      </c>
      <c r="AH166">
        <f t="shared" si="70"/>
        <v>138.5</v>
      </c>
      <c r="AI166">
        <f t="shared" si="71"/>
        <v>118.1</v>
      </c>
      <c r="AJ166">
        <f t="shared" si="72"/>
        <v>141.80000000000001</v>
      </c>
      <c r="AK166">
        <f t="shared" si="73"/>
        <v>159.5</v>
      </c>
      <c r="AL166">
        <f t="shared" si="74"/>
        <v>133.6</v>
      </c>
      <c r="AM166">
        <f t="shared" si="75"/>
        <v>120.5</v>
      </c>
      <c r="AN166">
        <f t="shared" si="76"/>
        <v>135.19999999999999</v>
      </c>
      <c r="AO166">
        <f t="shared" si="77"/>
        <v>128.5</v>
      </c>
      <c r="AP166">
        <f t="shared" si="78"/>
        <v>145.80000000000001</v>
      </c>
      <c r="AQ166">
        <f t="shared" si="79"/>
        <v>139</v>
      </c>
      <c r="AR166">
        <f t="shared" si="80"/>
        <v>148.19999999999999</v>
      </c>
      <c r="AS166">
        <f t="shared" si="81"/>
        <v>139.30000000000001</v>
      </c>
      <c r="AT166">
        <f t="shared" si="82"/>
        <v>132.1</v>
      </c>
      <c r="AU166">
        <f t="shared" si="83"/>
        <v>138.30000000000001</v>
      </c>
      <c r="AV166">
        <f t="shared" si="84"/>
        <v>132.6</v>
      </c>
      <c r="AW166">
        <f t="shared" si="85"/>
        <v>129.4</v>
      </c>
      <c r="AX166">
        <f t="shared" si="86"/>
        <v>131.9</v>
      </c>
      <c r="AY166">
        <f t="shared" si="87"/>
        <v>129.4</v>
      </c>
      <c r="AZ166">
        <f t="shared" si="88"/>
        <v>116</v>
      </c>
      <c r="BA166">
        <f t="shared" si="89"/>
        <v>126.6</v>
      </c>
      <c r="BB166">
        <f t="shared" si="90"/>
        <v>136.80000000000001</v>
      </c>
      <c r="BC166">
        <f t="shared" si="91"/>
        <v>123.6</v>
      </c>
      <c r="BD166">
        <f t="shared" si="92"/>
        <v>125.9</v>
      </c>
      <c r="BE166">
        <f t="shared" si="93"/>
        <v>134.19999999999999</v>
      </c>
      <c r="BF166">
        <f t="shared" si="94"/>
        <v>1769.3999999999999</v>
      </c>
      <c r="BG166">
        <f t="shared" si="95"/>
        <v>409.7</v>
      </c>
      <c r="BH166">
        <f t="shared" si="96"/>
        <v>253</v>
      </c>
      <c r="BI166">
        <f t="shared" si="97"/>
        <v>401.30000000000007</v>
      </c>
      <c r="BJ166">
        <f t="shared" si="98"/>
        <v>400.69999999999993</v>
      </c>
      <c r="BK166">
        <f t="shared" si="99"/>
        <v>245.4</v>
      </c>
    </row>
    <row r="167" spans="1:63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f t="shared" si="67"/>
        <v>134.80000000000001</v>
      </c>
      <c r="AF167">
        <f t="shared" si="68"/>
        <v>143.1</v>
      </c>
      <c r="AG167">
        <f t="shared" si="69"/>
        <v>130</v>
      </c>
      <c r="AH167">
        <f t="shared" si="70"/>
        <v>139.4</v>
      </c>
      <c r="AI167">
        <f t="shared" si="71"/>
        <v>120.5</v>
      </c>
      <c r="AJ167">
        <f t="shared" si="72"/>
        <v>148</v>
      </c>
      <c r="AK167">
        <f t="shared" si="73"/>
        <v>162.9</v>
      </c>
      <c r="AL167">
        <f t="shared" si="74"/>
        <v>137.4</v>
      </c>
      <c r="AM167">
        <f t="shared" si="75"/>
        <v>120.8</v>
      </c>
      <c r="AN167">
        <f t="shared" si="76"/>
        <v>134.69999999999999</v>
      </c>
      <c r="AO167">
        <f t="shared" si="77"/>
        <v>131.6</v>
      </c>
      <c r="AP167">
        <f t="shared" si="78"/>
        <v>148.69999999999999</v>
      </c>
      <c r="AQ167">
        <f t="shared" si="79"/>
        <v>140.6</v>
      </c>
      <c r="AR167">
        <f t="shared" si="80"/>
        <v>149</v>
      </c>
      <c r="AS167">
        <f t="shared" si="81"/>
        <v>145.30000000000001</v>
      </c>
      <c r="AT167">
        <f t="shared" si="82"/>
        <v>139.19999999999999</v>
      </c>
      <c r="AU167">
        <f t="shared" si="83"/>
        <v>144.5</v>
      </c>
      <c r="AV167">
        <f t="shared" si="84"/>
        <v>134.4</v>
      </c>
      <c r="AW167">
        <f t="shared" si="85"/>
        <v>136.4</v>
      </c>
      <c r="AX167">
        <f t="shared" si="86"/>
        <v>137.30000000000001</v>
      </c>
      <c r="AY167">
        <f t="shared" si="87"/>
        <v>133</v>
      </c>
      <c r="AZ167">
        <f t="shared" si="88"/>
        <v>120.3</v>
      </c>
      <c r="BA167">
        <f t="shared" si="89"/>
        <v>131.5</v>
      </c>
      <c r="BB167">
        <f t="shared" si="90"/>
        <v>140.19999999999999</v>
      </c>
      <c r="BC167">
        <f t="shared" si="91"/>
        <v>125.4</v>
      </c>
      <c r="BD167">
        <f t="shared" si="92"/>
        <v>129.69999999999999</v>
      </c>
      <c r="BE167">
        <f t="shared" si="93"/>
        <v>137.80000000000001</v>
      </c>
      <c r="BF167">
        <f t="shared" si="94"/>
        <v>1792.4999999999998</v>
      </c>
      <c r="BG167">
        <f t="shared" si="95"/>
        <v>429</v>
      </c>
      <c r="BH167">
        <f t="shared" si="96"/>
        <v>258.39999999999998</v>
      </c>
      <c r="BI167">
        <f t="shared" si="97"/>
        <v>411.9</v>
      </c>
      <c r="BJ167">
        <f t="shared" si="98"/>
        <v>410.2</v>
      </c>
      <c r="BK167">
        <f t="shared" si="99"/>
        <v>256.7</v>
      </c>
    </row>
    <row r="168" spans="1:63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f t="shared" si="67"/>
        <v>133.19999999999999</v>
      </c>
      <c r="AF168">
        <f t="shared" si="68"/>
        <v>143.9</v>
      </c>
      <c r="AG168">
        <f t="shared" si="69"/>
        <v>128.30000000000001</v>
      </c>
      <c r="AH168">
        <f t="shared" si="70"/>
        <v>138.30000000000001</v>
      </c>
      <c r="AI168">
        <f t="shared" si="71"/>
        <v>114.1</v>
      </c>
      <c r="AJ168">
        <f t="shared" si="72"/>
        <v>142.69999999999999</v>
      </c>
      <c r="AK168">
        <f t="shared" si="73"/>
        <v>179.8</v>
      </c>
      <c r="AL168">
        <f t="shared" si="74"/>
        <v>123.5</v>
      </c>
      <c r="AM168">
        <f t="shared" si="75"/>
        <v>122.1</v>
      </c>
      <c r="AN168">
        <f t="shared" si="76"/>
        <v>137.5</v>
      </c>
      <c r="AO168">
        <f t="shared" si="77"/>
        <v>124.6</v>
      </c>
      <c r="AP168">
        <f t="shared" si="78"/>
        <v>144.5</v>
      </c>
      <c r="AQ168">
        <f t="shared" si="79"/>
        <v>140.5</v>
      </c>
      <c r="AR168">
        <f t="shared" si="80"/>
        <v>152.1</v>
      </c>
      <c r="AS168">
        <f t="shared" si="81"/>
        <v>132.69999999999999</v>
      </c>
      <c r="AT168">
        <f t="shared" si="82"/>
        <v>124.3</v>
      </c>
      <c r="AU168">
        <f t="shared" si="83"/>
        <v>131.4</v>
      </c>
      <c r="AV168">
        <f t="shared" si="84"/>
        <v>134.4</v>
      </c>
      <c r="AW168">
        <f t="shared" si="85"/>
        <v>118.9</v>
      </c>
      <c r="AX168">
        <f t="shared" si="86"/>
        <v>127.7</v>
      </c>
      <c r="AY168">
        <f t="shared" si="87"/>
        <v>125.7</v>
      </c>
      <c r="AZ168">
        <f t="shared" si="88"/>
        <v>114.6</v>
      </c>
      <c r="BA168">
        <f t="shared" si="89"/>
        <v>124.1</v>
      </c>
      <c r="BB168">
        <f t="shared" si="90"/>
        <v>135.69999999999999</v>
      </c>
      <c r="BC168">
        <f t="shared" si="91"/>
        <v>123.3</v>
      </c>
      <c r="BD168">
        <f t="shared" si="92"/>
        <v>123.8</v>
      </c>
      <c r="BE168">
        <f t="shared" si="93"/>
        <v>132.69999999999999</v>
      </c>
      <c r="BF168">
        <f t="shared" si="94"/>
        <v>1772.9999999999998</v>
      </c>
      <c r="BG168">
        <f t="shared" si="95"/>
        <v>388.4</v>
      </c>
      <c r="BH168">
        <f t="shared" si="96"/>
        <v>249</v>
      </c>
      <c r="BI168">
        <f t="shared" si="97"/>
        <v>397.79999999999995</v>
      </c>
      <c r="BJ168">
        <f t="shared" si="98"/>
        <v>400</v>
      </c>
      <c r="BK168">
        <f t="shared" si="99"/>
        <v>233.5</v>
      </c>
    </row>
    <row r="169" spans="1:63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f t="shared" si="67"/>
        <v>134.30000000000001</v>
      </c>
      <c r="AF169">
        <f t="shared" si="68"/>
        <v>143.4</v>
      </c>
      <c r="AG169">
        <f t="shared" si="69"/>
        <v>129.30000000000001</v>
      </c>
      <c r="AH169">
        <f t="shared" si="70"/>
        <v>139</v>
      </c>
      <c r="AI169">
        <f t="shared" si="71"/>
        <v>118.1</v>
      </c>
      <c r="AJ169">
        <f t="shared" si="72"/>
        <v>145.5</v>
      </c>
      <c r="AK169">
        <f t="shared" si="73"/>
        <v>168.6</v>
      </c>
      <c r="AL169">
        <f t="shared" si="74"/>
        <v>132.69999999999999</v>
      </c>
      <c r="AM169">
        <f t="shared" si="75"/>
        <v>121.2</v>
      </c>
      <c r="AN169">
        <f t="shared" si="76"/>
        <v>135.6</v>
      </c>
      <c r="AO169">
        <f t="shared" si="77"/>
        <v>128.69999999999999</v>
      </c>
      <c r="AP169">
        <f t="shared" si="78"/>
        <v>146.80000000000001</v>
      </c>
      <c r="AQ169">
        <f t="shared" si="79"/>
        <v>140.6</v>
      </c>
      <c r="AR169">
        <f t="shared" si="80"/>
        <v>149.80000000000001</v>
      </c>
      <c r="AS169">
        <f t="shared" si="81"/>
        <v>140.30000000000001</v>
      </c>
      <c r="AT169">
        <f t="shared" si="82"/>
        <v>133</v>
      </c>
      <c r="AU169">
        <f t="shared" si="83"/>
        <v>139.30000000000001</v>
      </c>
      <c r="AV169">
        <f t="shared" si="84"/>
        <v>134.4</v>
      </c>
      <c r="AW169">
        <f t="shared" si="85"/>
        <v>129.80000000000001</v>
      </c>
      <c r="AX169">
        <f t="shared" si="86"/>
        <v>132.80000000000001</v>
      </c>
      <c r="AY169">
        <f t="shared" si="87"/>
        <v>130.19999999999999</v>
      </c>
      <c r="AZ169">
        <f t="shared" si="88"/>
        <v>117.3</v>
      </c>
      <c r="BA169">
        <f t="shared" si="89"/>
        <v>127.3</v>
      </c>
      <c r="BB169">
        <f t="shared" si="90"/>
        <v>137.6</v>
      </c>
      <c r="BC169">
        <f t="shared" si="91"/>
        <v>124.5</v>
      </c>
      <c r="BD169">
        <f t="shared" si="92"/>
        <v>126.8</v>
      </c>
      <c r="BE169">
        <f t="shared" si="93"/>
        <v>135.4</v>
      </c>
      <c r="BF169">
        <f t="shared" si="94"/>
        <v>1783.8</v>
      </c>
      <c r="BG169">
        <f t="shared" si="95"/>
        <v>412.6</v>
      </c>
      <c r="BH169">
        <f t="shared" si="96"/>
        <v>254.7</v>
      </c>
      <c r="BI169">
        <f t="shared" si="97"/>
        <v>404.79999999999995</v>
      </c>
      <c r="BJ169">
        <f t="shared" si="98"/>
        <v>403.90000000000003</v>
      </c>
      <c r="BK169">
        <f t="shared" si="99"/>
        <v>247.10000000000002</v>
      </c>
    </row>
    <row r="170" spans="1:63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f t="shared" si="67"/>
        <v>135.19999999999999</v>
      </c>
      <c r="AF170">
        <f t="shared" si="68"/>
        <v>142</v>
      </c>
      <c r="AG170">
        <f t="shared" si="69"/>
        <v>130.5</v>
      </c>
      <c r="AH170">
        <f t="shared" si="70"/>
        <v>140.19999999999999</v>
      </c>
      <c r="AI170">
        <f t="shared" si="71"/>
        <v>120.7</v>
      </c>
      <c r="AJ170">
        <f t="shared" si="72"/>
        <v>147.80000000000001</v>
      </c>
      <c r="AK170">
        <f t="shared" si="73"/>
        <v>154.5</v>
      </c>
      <c r="AL170">
        <f t="shared" si="74"/>
        <v>137.1</v>
      </c>
      <c r="AM170">
        <f t="shared" si="75"/>
        <v>121</v>
      </c>
      <c r="AN170">
        <f t="shared" si="76"/>
        <v>134.69999999999999</v>
      </c>
      <c r="AO170">
        <f t="shared" si="77"/>
        <v>131.69999999999999</v>
      </c>
      <c r="AP170">
        <f t="shared" si="78"/>
        <v>149.30000000000001</v>
      </c>
      <c r="AQ170">
        <f t="shared" si="79"/>
        <v>139.6</v>
      </c>
      <c r="AR170">
        <f t="shared" si="80"/>
        <v>149.80000000000001</v>
      </c>
      <c r="AS170">
        <f t="shared" si="81"/>
        <v>146.1</v>
      </c>
      <c r="AT170">
        <f t="shared" si="82"/>
        <v>139.69999999999999</v>
      </c>
      <c r="AU170">
        <f t="shared" si="83"/>
        <v>145.19999999999999</v>
      </c>
      <c r="AV170">
        <f t="shared" si="84"/>
        <v>135.69999999999999</v>
      </c>
      <c r="AW170">
        <f t="shared" si="85"/>
        <v>137.4</v>
      </c>
      <c r="AX170">
        <f t="shared" si="86"/>
        <v>137.9</v>
      </c>
      <c r="AY170">
        <f t="shared" si="87"/>
        <v>133.4</v>
      </c>
      <c r="AZ170">
        <f t="shared" si="88"/>
        <v>121.2</v>
      </c>
      <c r="BA170">
        <f t="shared" si="89"/>
        <v>132.30000000000001</v>
      </c>
      <c r="BB170">
        <f t="shared" si="90"/>
        <v>139.6</v>
      </c>
      <c r="BC170">
        <f t="shared" si="91"/>
        <v>126.7</v>
      </c>
      <c r="BD170">
        <f t="shared" si="92"/>
        <v>130.30000000000001</v>
      </c>
      <c r="BE170">
        <f t="shared" si="93"/>
        <v>137.6</v>
      </c>
      <c r="BF170">
        <f t="shared" si="94"/>
        <v>1784.3</v>
      </c>
      <c r="BG170">
        <f t="shared" si="95"/>
        <v>430.99999999999994</v>
      </c>
      <c r="BH170">
        <f t="shared" si="96"/>
        <v>260.10000000000002</v>
      </c>
      <c r="BI170">
        <f t="shared" si="97"/>
        <v>413.2</v>
      </c>
      <c r="BJ170">
        <f t="shared" si="98"/>
        <v>412.40000000000003</v>
      </c>
      <c r="BK170">
        <f t="shared" si="99"/>
        <v>258.60000000000002</v>
      </c>
    </row>
    <row r="171" spans="1:63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f t="shared" si="67"/>
        <v>133.6</v>
      </c>
      <c r="AF171">
        <f t="shared" si="68"/>
        <v>143</v>
      </c>
      <c r="AG171">
        <f t="shared" si="69"/>
        <v>129.69999999999999</v>
      </c>
      <c r="AH171">
        <f t="shared" si="70"/>
        <v>138.69999999999999</v>
      </c>
      <c r="AI171">
        <f t="shared" si="71"/>
        <v>114.5</v>
      </c>
      <c r="AJ171">
        <f t="shared" si="72"/>
        <v>137.5</v>
      </c>
      <c r="AK171">
        <f t="shared" si="73"/>
        <v>160.69999999999999</v>
      </c>
      <c r="AL171">
        <f t="shared" si="74"/>
        <v>124.5</v>
      </c>
      <c r="AM171">
        <f t="shared" si="75"/>
        <v>122.4</v>
      </c>
      <c r="AN171">
        <f t="shared" si="76"/>
        <v>137.30000000000001</v>
      </c>
      <c r="AO171">
        <f t="shared" si="77"/>
        <v>124.8</v>
      </c>
      <c r="AP171">
        <f t="shared" si="78"/>
        <v>145</v>
      </c>
      <c r="AQ171">
        <f t="shared" si="79"/>
        <v>138</v>
      </c>
      <c r="AR171">
        <f t="shared" si="80"/>
        <v>153.6</v>
      </c>
      <c r="AS171">
        <f t="shared" si="81"/>
        <v>133.30000000000001</v>
      </c>
      <c r="AT171">
        <f t="shared" si="82"/>
        <v>124.6</v>
      </c>
      <c r="AU171">
        <f t="shared" si="83"/>
        <v>132</v>
      </c>
      <c r="AV171">
        <f t="shared" si="84"/>
        <v>135.69999999999999</v>
      </c>
      <c r="AW171">
        <f t="shared" si="85"/>
        <v>120.6</v>
      </c>
      <c r="AX171">
        <f t="shared" si="86"/>
        <v>128.1</v>
      </c>
      <c r="AY171">
        <f t="shared" si="87"/>
        <v>126.1</v>
      </c>
      <c r="AZ171">
        <f t="shared" si="88"/>
        <v>115.7</v>
      </c>
      <c r="BA171">
        <f t="shared" si="89"/>
        <v>124.5</v>
      </c>
      <c r="BB171">
        <f t="shared" si="90"/>
        <v>135.9</v>
      </c>
      <c r="BC171">
        <f t="shared" si="91"/>
        <v>124.4</v>
      </c>
      <c r="BD171">
        <f t="shared" si="92"/>
        <v>124.5</v>
      </c>
      <c r="BE171">
        <f t="shared" si="93"/>
        <v>132.4</v>
      </c>
      <c r="BF171">
        <f t="shared" si="94"/>
        <v>1749.7</v>
      </c>
      <c r="BG171">
        <f t="shared" si="95"/>
        <v>389.9</v>
      </c>
      <c r="BH171">
        <f t="shared" si="96"/>
        <v>250.5</v>
      </c>
      <c r="BI171">
        <f t="shared" si="97"/>
        <v>399.7</v>
      </c>
      <c r="BJ171">
        <f t="shared" si="98"/>
        <v>402.6</v>
      </c>
      <c r="BK171">
        <f t="shared" si="99"/>
        <v>236.3</v>
      </c>
    </row>
    <row r="172" spans="1:63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f t="shared" si="67"/>
        <v>134.69999999999999</v>
      </c>
      <c r="AF172">
        <f t="shared" si="68"/>
        <v>142.4</v>
      </c>
      <c r="AG172">
        <f t="shared" si="69"/>
        <v>130.19999999999999</v>
      </c>
      <c r="AH172">
        <f t="shared" si="70"/>
        <v>139.6</v>
      </c>
      <c r="AI172">
        <f t="shared" si="71"/>
        <v>118.4</v>
      </c>
      <c r="AJ172">
        <f t="shared" si="72"/>
        <v>143</v>
      </c>
      <c r="AK172">
        <f t="shared" si="73"/>
        <v>156.6</v>
      </c>
      <c r="AL172">
        <f t="shared" si="74"/>
        <v>132.9</v>
      </c>
      <c r="AM172">
        <f t="shared" si="75"/>
        <v>121.5</v>
      </c>
      <c r="AN172">
        <f t="shared" si="76"/>
        <v>135.6</v>
      </c>
      <c r="AO172">
        <f t="shared" si="77"/>
        <v>128.80000000000001</v>
      </c>
      <c r="AP172">
        <f t="shared" si="78"/>
        <v>147.30000000000001</v>
      </c>
      <c r="AQ172">
        <f t="shared" si="79"/>
        <v>139</v>
      </c>
      <c r="AR172">
        <f t="shared" si="80"/>
        <v>150.80000000000001</v>
      </c>
      <c r="AS172">
        <f t="shared" si="81"/>
        <v>141.1</v>
      </c>
      <c r="AT172">
        <f t="shared" si="82"/>
        <v>133.4</v>
      </c>
      <c r="AU172">
        <f t="shared" si="83"/>
        <v>140</v>
      </c>
      <c r="AV172">
        <f t="shared" si="84"/>
        <v>135.69999999999999</v>
      </c>
      <c r="AW172">
        <f t="shared" si="85"/>
        <v>131</v>
      </c>
      <c r="AX172">
        <f t="shared" si="86"/>
        <v>133.30000000000001</v>
      </c>
      <c r="AY172">
        <f t="shared" si="87"/>
        <v>130.6</v>
      </c>
      <c r="AZ172">
        <f t="shared" si="88"/>
        <v>118.3</v>
      </c>
      <c r="BA172">
        <f t="shared" si="89"/>
        <v>127.9</v>
      </c>
      <c r="BB172">
        <f t="shared" si="90"/>
        <v>137.4</v>
      </c>
      <c r="BC172">
        <f t="shared" si="91"/>
        <v>125.7</v>
      </c>
      <c r="BD172">
        <f t="shared" si="92"/>
        <v>127.5</v>
      </c>
      <c r="BE172">
        <f t="shared" si="93"/>
        <v>135.19999999999999</v>
      </c>
      <c r="BF172">
        <f t="shared" si="94"/>
        <v>1769.9999999999998</v>
      </c>
      <c r="BG172">
        <f t="shared" si="95"/>
        <v>414.5</v>
      </c>
      <c r="BH172">
        <f t="shared" si="96"/>
        <v>256.3</v>
      </c>
      <c r="BI172">
        <f t="shared" si="97"/>
        <v>406.40000000000003</v>
      </c>
      <c r="BJ172">
        <f t="shared" si="98"/>
        <v>406.20000000000005</v>
      </c>
      <c r="BK172">
        <f t="shared" si="99"/>
        <v>249.3</v>
      </c>
    </row>
    <row r="173" spans="1:63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f t="shared" si="67"/>
        <v>135.9</v>
      </c>
      <c r="AF173">
        <f t="shared" si="68"/>
        <v>141.9</v>
      </c>
      <c r="AG173">
        <f t="shared" si="69"/>
        <v>131</v>
      </c>
      <c r="AH173">
        <f t="shared" si="70"/>
        <v>141.5</v>
      </c>
      <c r="AI173">
        <f t="shared" si="71"/>
        <v>121.4</v>
      </c>
      <c r="AJ173">
        <f t="shared" si="72"/>
        <v>146.69999999999999</v>
      </c>
      <c r="AK173">
        <f t="shared" si="73"/>
        <v>157.1</v>
      </c>
      <c r="AL173">
        <f t="shared" si="74"/>
        <v>136.4</v>
      </c>
      <c r="AM173">
        <f t="shared" si="75"/>
        <v>121.4</v>
      </c>
      <c r="AN173">
        <f t="shared" si="76"/>
        <v>135.6</v>
      </c>
      <c r="AO173">
        <f t="shared" si="77"/>
        <v>131.30000000000001</v>
      </c>
      <c r="AP173">
        <f t="shared" si="78"/>
        <v>150.30000000000001</v>
      </c>
      <c r="AQ173">
        <f t="shared" si="79"/>
        <v>140.4</v>
      </c>
      <c r="AR173">
        <f t="shared" si="80"/>
        <v>150.5</v>
      </c>
      <c r="AS173">
        <f t="shared" si="81"/>
        <v>147.19999999999999</v>
      </c>
      <c r="AT173">
        <f t="shared" si="82"/>
        <v>140.6</v>
      </c>
      <c r="AU173">
        <f t="shared" si="83"/>
        <v>146.19999999999999</v>
      </c>
      <c r="AV173">
        <f t="shared" si="84"/>
        <v>137.30000000000001</v>
      </c>
      <c r="AW173">
        <f t="shared" si="85"/>
        <v>138.1</v>
      </c>
      <c r="AX173">
        <f t="shared" si="86"/>
        <v>138.4</v>
      </c>
      <c r="AY173">
        <f t="shared" si="87"/>
        <v>134.19999999999999</v>
      </c>
      <c r="AZ173">
        <f t="shared" si="88"/>
        <v>121</v>
      </c>
      <c r="BA173">
        <f t="shared" si="89"/>
        <v>133</v>
      </c>
      <c r="BB173">
        <f t="shared" si="90"/>
        <v>140.1</v>
      </c>
      <c r="BC173">
        <f t="shared" si="91"/>
        <v>127.4</v>
      </c>
      <c r="BD173">
        <f t="shared" si="92"/>
        <v>130.69999999999999</v>
      </c>
      <c r="BE173">
        <f t="shared" si="93"/>
        <v>138.30000000000001</v>
      </c>
      <c r="BF173">
        <f t="shared" si="94"/>
        <v>1790.8999999999999</v>
      </c>
      <c r="BG173">
        <f t="shared" si="95"/>
        <v>433.99999999999994</v>
      </c>
      <c r="BH173">
        <f t="shared" si="96"/>
        <v>261.60000000000002</v>
      </c>
      <c r="BI173">
        <f t="shared" si="97"/>
        <v>415.8</v>
      </c>
      <c r="BJ173">
        <f t="shared" si="98"/>
        <v>414.2</v>
      </c>
      <c r="BK173">
        <f t="shared" si="99"/>
        <v>259.10000000000002</v>
      </c>
    </row>
    <row r="174" spans="1:63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f t="shared" si="67"/>
        <v>133.9</v>
      </c>
      <c r="AF174">
        <f t="shared" si="68"/>
        <v>142.80000000000001</v>
      </c>
      <c r="AG174">
        <f t="shared" si="69"/>
        <v>131.4</v>
      </c>
      <c r="AH174">
        <f t="shared" si="70"/>
        <v>139.1</v>
      </c>
      <c r="AI174">
        <f t="shared" si="71"/>
        <v>114.9</v>
      </c>
      <c r="AJ174">
        <f t="shared" si="72"/>
        <v>135.6</v>
      </c>
      <c r="AK174">
        <f t="shared" si="73"/>
        <v>173.2</v>
      </c>
      <c r="AL174">
        <f t="shared" si="74"/>
        <v>124.1</v>
      </c>
      <c r="AM174">
        <f t="shared" si="75"/>
        <v>122.6</v>
      </c>
      <c r="AN174">
        <f t="shared" si="76"/>
        <v>137.80000000000001</v>
      </c>
      <c r="AO174">
        <f t="shared" si="77"/>
        <v>125.1</v>
      </c>
      <c r="AP174">
        <f t="shared" si="78"/>
        <v>145.5</v>
      </c>
      <c r="AQ174">
        <f t="shared" si="79"/>
        <v>139.69999999999999</v>
      </c>
      <c r="AR174">
        <f t="shared" si="80"/>
        <v>154.6</v>
      </c>
      <c r="AS174">
        <f t="shared" si="81"/>
        <v>134</v>
      </c>
      <c r="AT174">
        <f t="shared" si="82"/>
        <v>124.9</v>
      </c>
      <c r="AU174">
        <f t="shared" si="83"/>
        <v>132.6</v>
      </c>
      <c r="AV174">
        <f t="shared" si="84"/>
        <v>137.30000000000001</v>
      </c>
      <c r="AW174">
        <f t="shared" si="85"/>
        <v>122.6</v>
      </c>
      <c r="AX174">
        <f t="shared" si="86"/>
        <v>128.30000000000001</v>
      </c>
      <c r="AY174">
        <f t="shared" si="87"/>
        <v>126.6</v>
      </c>
      <c r="AZ174">
        <f t="shared" si="88"/>
        <v>115</v>
      </c>
      <c r="BA174">
        <f t="shared" si="89"/>
        <v>124.8</v>
      </c>
      <c r="BB174">
        <f t="shared" si="90"/>
        <v>136.30000000000001</v>
      </c>
      <c r="BC174">
        <f t="shared" si="91"/>
        <v>124.6</v>
      </c>
      <c r="BD174">
        <f t="shared" si="92"/>
        <v>124.5</v>
      </c>
      <c r="BE174">
        <f t="shared" si="93"/>
        <v>133.5</v>
      </c>
      <c r="BF174">
        <f t="shared" si="94"/>
        <v>1765.6999999999998</v>
      </c>
      <c r="BG174">
        <f t="shared" si="95"/>
        <v>391.5</v>
      </c>
      <c r="BH174">
        <f t="shared" si="96"/>
        <v>251.2</v>
      </c>
      <c r="BI174">
        <f t="shared" si="97"/>
        <v>401.90000000000003</v>
      </c>
      <c r="BJ174">
        <f t="shared" si="98"/>
        <v>403.9</v>
      </c>
      <c r="BK174">
        <f t="shared" si="99"/>
        <v>237.6</v>
      </c>
    </row>
    <row r="175" spans="1:63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f t="shared" si="67"/>
        <v>135.30000000000001</v>
      </c>
      <c r="AF175">
        <f t="shared" si="68"/>
        <v>142.19999999999999</v>
      </c>
      <c r="AG175">
        <f t="shared" si="69"/>
        <v>131.19999999999999</v>
      </c>
      <c r="AH175">
        <f t="shared" si="70"/>
        <v>140.6</v>
      </c>
      <c r="AI175">
        <f t="shared" si="71"/>
        <v>119</v>
      </c>
      <c r="AJ175">
        <f t="shared" si="72"/>
        <v>141.5</v>
      </c>
      <c r="AK175">
        <f t="shared" si="73"/>
        <v>162.6</v>
      </c>
      <c r="AL175">
        <f t="shared" si="74"/>
        <v>132.30000000000001</v>
      </c>
      <c r="AM175">
        <f t="shared" si="75"/>
        <v>121.8</v>
      </c>
      <c r="AN175">
        <f t="shared" si="76"/>
        <v>136.30000000000001</v>
      </c>
      <c r="AO175">
        <f t="shared" si="77"/>
        <v>128.69999999999999</v>
      </c>
      <c r="AP175">
        <f t="shared" si="78"/>
        <v>148.1</v>
      </c>
      <c r="AQ175">
        <f t="shared" si="79"/>
        <v>140.1</v>
      </c>
      <c r="AR175">
        <f t="shared" si="80"/>
        <v>151.6</v>
      </c>
      <c r="AS175">
        <f t="shared" si="81"/>
        <v>142</v>
      </c>
      <c r="AT175">
        <f t="shared" si="82"/>
        <v>134.1</v>
      </c>
      <c r="AU175">
        <f t="shared" si="83"/>
        <v>140.80000000000001</v>
      </c>
      <c r="AV175">
        <f t="shared" si="84"/>
        <v>137.30000000000001</v>
      </c>
      <c r="AW175">
        <f t="shared" si="85"/>
        <v>132.19999999999999</v>
      </c>
      <c r="AX175">
        <f t="shared" si="86"/>
        <v>133.6</v>
      </c>
      <c r="AY175">
        <f t="shared" si="87"/>
        <v>131.30000000000001</v>
      </c>
      <c r="AZ175">
        <f t="shared" si="88"/>
        <v>117.8</v>
      </c>
      <c r="BA175">
        <f t="shared" si="89"/>
        <v>128.4</v>
      </c>
      <c r="BB175">
        <f t="shared" si="90"/>
        <v>137.9</v>
      </c>
      <c r="BC175">
        <f t="shared" si="91"/>
        <v>126.2</v>
      </c>
      <c r="BD175">
        <f t="shared" si="92"/>
        <v>127.7</v>
      </c>
      <c r="BE175">
        <f t="shared" si="93"/>
        <v>136.1</v>
      </c>
      <c r="BF175">
        <f t="shared" si="94"/>
        <v>1779.6999999999998</v>
      </c>
      <c r="BG175">
        <f t="shared" si="95"/>
        <v>416.90000000000003</v>
      </c>
      <c r="BH175">
        <f t="shared" si="96"/>
        <v>257.5</v>
      </c>
      <c r="BI175">
        <f t="shared" si="97"/>
        <v>408.8</v>
      </c>
      <c r="BJ175">
        <f t="shared" si="98"/>
        <v>407.7</v>
      </c>
      <c r="BK175">
        <f t="shared" si="99"/>
        <v>250</v>
      </c>
    </row>
    <row r="176" spans="1:63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f t="shared" si="67"/>
        <v>136.30000000000001</v>
      </c>
      <c r="AF176">
        <f t="shared" si="68"/>
        <v>142.5</v>
      </c>
      <c r="AG176">
        <f t="shared" si="69"/>
        <v>140.5</v>
      </c>
      <c r="AH176">
        <f t="shared" si="70"/>
        <v>141.5</v>
      </c>
      <c r="AI176">
        <f t="shared" si="71"/>
        <v>121.6</v>
      </c>
      <c r="AJ176">
        <f t="shared" si="72"/>
        <v>147.30000000000001</v>
      </c>
      <c r="AK176">
        <f t="shared" si="73"/>
        <v>168</v>
      </c>
      <c r="AL176">
        <f t="shared" si="74"/>
        <v>135.80000000000001</v>
      </c>
      <c r="AM176">
        <f t="shared" si="75"/>
        <v>122.5</v>
      </c>
      <c r="AN176">
        <f t="shared" si="76"/>
        <v>136</v>
      </c>
      <c r="AO176">
        <f t="shared" si="77"/>
        <v>131.9</v>
      </c>
      <c r="AP176">
        <f t="shared" si="78"/>
        <v>151.4</v>
      </c>
      <c r="AQ176">
        <f t="shared" si="79"/>
        <v>142.4</v>
      </c>
      <c r="AR176">
        <f t="shared" si="80"/>
        <v>152.1</v>
      </c>
      <c r="AS176">
        <f t="shared" si="81"/>
        <v>148.19999999999999</v>
      </c>
      <c r="AT176">
        <f t="shared" si="82"/>
        <v>141.5</v>
      </c>
      <c r="AU176">
        <f t="shared" si="83"/>
        <v>147.30000000000001</v>
      </c>
      <c r="AV176">
        <f t="shared" si="84"/>
        <v>138.6</v>
      </c>
      <c r="AW176">
        <f t="shared" si="85"/>
        <v>141.1</v>
      </c>
      <c r="AX176">
        <f t="shared" si="86"/>
        <v>139.4</v>
      </c>
      <c r="AY176">
        <f t="shared" si="87"/>
        <v>135.80000000000001</v>
      </c>
      <c r="AZ176">
        <f t="shared" si="88"/>
        <v>121.6</v>
      </c>
      <c r="BA176">
        <f t="shared" si="89"/>
        <v>133.69999999999999</v>
      </c>
      <c r="BB176">
        <f t="shared" si="90"/>
        <v>141.5</v>
      </c>
      <c r="BC176">
        <f t="shared" si="91"/>
        <v>128.1</v>
      </c>
      <c r="BD176">
        <f t="shared" si="92"/>
        <v>131.69999999999999</v>
      </c>
      <c r="BE176">
        <f t="shared" si="93"/>
        <v>140</v>
      </c>
      <c r="BF176">
        <f t="shared" si="94"/>
        <v>1817.7000000000003</v>
      </c>
      <c r="BG176">
        <f t="shared" si="95"/>
        <v>437</v>
      </c>
      <c r="BH176">
        <f t="shared" si="96"/>
        <v>263.89999999999998</v>
      </c>
      <c r="BI176">
        <f t="shared" si="97"/>
        <v>419.5</v>
      </c>
      <c r="BJ176">
        <f t="shared" si="98"/>
        <v>417.49999999999994</v>
      </c>
      <c r="BK176">
        <f t="shared" si="99"/>
        <v>262.7</v>
      </c>
    </row>
    <row r="177" spans="1:63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f t="shared" si="67"/>
        <v>134.30000000000001</v>
      </c>
      <c r="AF177">
        <f t="shared" si="68"/>
        <v>142.1</v>
      </c>
      <c r="AG177">
        <f t="shared" si="69"/>
        <v>146.69999999999999</v>
      </c>
      <c r="AH177">
        <f t="shared" si="70"/>
        <v>139.5</v>
      </c>
      <c r="AI177">
        <f t="shared" si="71"/>
        <v>115.2</v>
      </c>
      <c r="AJ177">
        <f t="shared" si="72"/>
        <v>136.4</v>
      </c>
      <c r="AK177">
        <f t="shared" si="73"/>
        <v>185.2</v>
      </c>
      <c r="AL177">
        <f t="shared" si="74"/>
        <v>122.2</v>
      </c>
      <c r="AM177">
        <f t="shared" si="75"/>
        <v>123.9</v>
      </c>
      <c r="AN177">
        <f t="shared" si="76"/>
        <v>138.30000000000001</v>
      </c>
      <c r="AO177">
        <f t="shared" si="77"/>
        <v>125.4</v>
      </c>
      <c r="AP177">
        <f t="shared" si="78"/>
        <v>146</v>
      </c>
      <c r="AQ177">
        <f t="shared" si="79"/>
        <v>141.5</v>
      </c>
      <c r="AR177">
        <f t="shared" si="80"/>
        <v>156.19999999999999</v>
      </c>
      <c r="AS177">
        <f t="shared" si="81"/>
        <v>135</v>
      </c>
      <c r="AT177">
        <f t="shared" si="82"/>
        <v>125.4</v>
      </c>
      <c r="AU177">
        <f t="shared" si="83"/>
        <v>133.5</v>
      </c>
      <c r="AV177">
        <f t="shared" si="84"/>
        <v>138.6</v>
      </c>
      <c r="AW177">
        <f t="shared" si="85"/>
        <v>125.7</v>
      </c>
      <c r="AX177">
        <f t="shared" si="86"/>
        <v>128.80000000000001</v>
      </c>
      <c r="AY177">
        <f t="shared" si="87"/>
        <v>127.4</v>
      </c>
      <c r="AZ177">
        <f t="shared" si="88"/>
        <v>115.3</v>
      </c>
      <c r="BA177">
        <f t="shared" si="89"/>
        <v>125.1</v>
      </c>
      <c r="BB177">
        <f t="shared" si="90"/>
        <v>136.6</v>
      </c>
      <c r="BC177">
        <f t="shared" si="91"/>
        <v>124.9</v>
      </c>
      <c r="BD177">
        <f t="shared" si="92"/>
        <v>124.9</v>
      </c>
      <c r="BE177">
        <f t="shared" si="93"/>
        <v>134.80000000000001</v>
      </c>
      <c r="BF177">
        <f t="shared" si="94"/>
        <v>1796.7</v>
      </c>
      <c r="BG177">
        <f t="shared" si="95"/>
        <v>393.9</v>
      </c>
      <c r="BH177">
        <f t="shared" si="96"/>
        <v>252.3</v>
      </c>
      <c r="BI177">
        <f t="shared" si="97"/>
        <v>404</v>
      </c>
      <c r="BJ177">
        <f t="shared" si="98"/>
        <v>406.19999999999993</v>
      </c>
      <c r="BK177">
        <f t="shared" si="99"/>
        <v>241</v>
      </c>
    </row>
    <row r="178" spans="1:63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f t="shared" si="67"/>
        <v>135.69999999999999</v>
      </c>
      <c r="AF178">
        <f t="shared" si="68"/>
        <v>142.4</v>
      </c>
      <c r="AG178">
        <f t="shared" si="69"/>
        <v>142.9</v>
      </c>
      <c r="AH178">
        <f t="shared" si="70"/>
        <v>140.80000000000001</v>
      </c>
      <c r="AI178">
        <f t="shared" si="71"/>
        <v>119.2</v>
      </c>
      <c r="AJ178">
        <f t="shared" si="72"/>
        <v>142.19999999999999</v>
      </c>
      <c r="AK178">
        <f t="shared" si="73"/>
        <v>173.8</v>
      </c>
      <c r="AL178">
        <f t="shared" si="74"/>
        <v>131.19999999999999</v>
      </c>
      <c r="AM178">
        <f t="shared" si="75"/>
        <v>123</v>
      </c>
      <c r="AN178">
        <f t="shared" si="76"/>
        <v>136.80000000000001</v>
      </c>
      <c r="AO178">
        <f t="shared" si="77"/>
        <v>129.19999999999999</v>
      </c>
      <c r="AP178">
        <f t="shared" si="78"/>
        <v>148.9</v>
      </c>
      <c r="AQ178">
        <f t="shared" si="79"/>
        <v>142.1</v>
      </c>
      <c r="AR178">
        <f t="shared" si="80"/>
        <v>153.19999999999999</v>
      </c>
      <c r="AS178">
        <f t="shared" si="81"/>
        <v>143</v>
      </c>
      <c r="AT178">
        <f t="shared" si="82"/>
        <v>134.80000000000001</v>
      </c>
      <c r="AU178">
        <f t="shared" si="83"/>
        <v>141.80000000000001</v>
      </c>
      <c r="AV178">
        <f t="shared" si="84"/>
        <v>138.6</v>
      </c>
      <c r="AW178">
        <f t="shared" si="85"/>
        <v>135.30000000000001</v>
      </c>
      <c r="AX178">
        <f t="shared" si="86"/>
        <v>134.4</v>
      </c>
      <c r="AY178">
        <f t="shared" si="87"/>
        <v>132.6</v>
      </c>
      <c r="AZ178">
        <f t="shared" si="88"/>
        <v>118.3</v>
      </c>
      <c r="BA178">
        <f t="shared" si="89"/>
        <v>128.9</v>
      </c>
      <c r="BB178">
        <f t="shared" si="90"/>
        <v>138.6</v>
      </c>
      <c r="BC178">
        <f t="shared" si="91"/>
        <v>126.8</v>
      </c>
      <c r="BD178">
        <f t="shared" si="92"/>
        <v>128.4</v>
      </c>
      <c r="BE178">
        <f t="shared" si="93"/>
        <v>137.6</v>
      </c>
      <c r="BF178">
        <f t="shared" si="94"/>
        <v>1808.2</v>
      </c>
      <c r="BG178">
        <f t="shared" si="95"/>
        <v>419.6</v>
      </c>
      <c r="BH178">
        <f t="shared" si="96"/>
        <v>259.39999999999998</v>
      </c>
      <c r="BI178">
        <f t="shared" si="97"/>
        <v>411.6</v>
      </c>
      <c r="BJ178">
        <f t="shared" si="98"/>
        <v>410.5</v>
      </c>
      <c r="BK178">
        <f t="shared" si="99"/>
        <v>253.60000000000002</v>
      </c>
    </row>
    <row r="179" spans="1:63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f t="shared" si="67"/>
        <v>136.4</v>
      </c>
      <c r="AF179">
        <f t="shared" si="68"/>
        <v>143.69999999999999</v>
      </c>
      <c r="AG179">
        <f t="shared" si="69"/>
        <v>144.80000000000001</v>
      </c>
      <c r="AH179">
        <f t="shared" si="70"/>
        <v>141.9</v>
      </c>
      <c r="AI179">
        <f t="shared" si="71"/>
        <v>123.1</v>
      </c>
      <c r="AJ179">
        <f t="shared" si="72"/>
        <v>147.19999999999999</v>
      </c>
      <c r="AK179">
        <f t="shared" si="73"/>
        <v>161</v>
      </c>
      <c r="AL179">
        <f t="shared" si="74"/>
        <v>133.80000000000001</v>
      </c>
      <c r="AM179">
        <f t="shared" si="75"/>
        <v>121.9</v>
      </c>
      <c r="AN179">
        <f t="shared" si="76"/>
        <v>135.80000000000001</v>
      </c>
      <c r="AO179">
        <f t="shared" si="77"/>
        <v>131.1</v>
      </c>
      <c r="AP179">
        <f t="shared" si="78"/>
        <v>151.4</v>
      </c>
      <c r="AQ179">
        <f t="shared" si="79"/>
        <v>141.5</v>
      </c>
      <c r="AR179">
        <f t="shared" si="80"/>
        <v>153.19999999999999</v>
      </c>
      <c r="AS179">
        <f t="shared" si="81"/>
        <v>148</v>
      </c>
      <c r="AT179">
        <f t="shared" si="82"/>
        <v>141.9</v>
      </c>
      <c r="AU179">
        <f t="shared" si="83"/>
        <v>147.19999999999999</v>
      </c>
      <c r="AV179">
        <f t="shared" si="84"/>
        <v>139.1</v>
      </c>
      <c r="AW179">
        <f t="shared" si="85"/>
        <v>142.6</v>
      </c>
      <c r="AX179">
        <f t="shared" si="86"/>
        <v>139.5</v>
      </c>
      <c r="AY179">
        <f t="shared" si="87"/>
        <v>136.1</v>
      </c>
      <c r="AZ179">
        <f t="shared" si="88"/>
        <v>122</v>
      </c>
      <c r="BA179">
        <f t="shared" si="89"/>
        <v>133.4</v>
      </c>
      <c r="BB179">
        <f t="shared" si="90"/>
        <v>141.1</v>
      </c>
      <c r="BC179">
        <f t="shared" si="91"/>
        <v>127.8</v>
      </c>
      <c r="BD179">
        <f t="shared" si="92"/>
        <v>131.9</v>
      </c>
      <c r="BE179">
        <f t="shared" si="93"/>
        <v>139.80000000000001</v>
      </c>
      <c r="BF179">
        <f t="shared" si="94"/>
        <v>1813.6000000000001</v>
      </c>
      <c r="BG179">
        <f t="shared" si="95"/>
        <v>437.09999999999997</v>
      </c>
      <c r="BH179">
        <f t="shared" si="96"/>
        <v>263.89999999999998</v>
      </c>
      <c r="BI179">
        <f t="shared" si="97"/>
        <v>419.70000000000005</v>
      </c>
      <c r="BJ179">
        <f t="shared" si="98"/>
        <v>418.5</v>
      </c>
      <c r="BK179">
        <f t="shared" si="99"/>
        <v>264.60000000000002</v>
      </c>
    </row>
    <row r="180" spans="1:63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f t="shared" si="67"/>
        <v>134.4</v>
      </c>
      <c r="AF180">
        <f t="shared" si="68"/>
        <v>142.6</v>
      </c>
      <c r="AG180">
        <f t="shared" si="69"/>
        <v>145.9</v>
      </c>
      <c r="AH180">
        <f t="shared" si="70"/>
        <v>139.5</v>
      </c>
      <c r="AI180">
        <f t="shared" si="71"/>
        <v>115.9</v>
      </c>
      <c r="AJ180">
        <f t="shared" si="72"/>
        <v>135</v>
      </c>
      <c r="AK180">
        <f t="shared" si="73"/>
        <v>163.19999999999999</v>
      </c>
      <c r="AL180">
        <f t="shared" si="74"/>
        <v>119.8</v>
      </c>
      <c r="AM180">
        <f t="shared" si="75"/>
        <v>120.7</v>
      </c>
      <c r="AN180">
        <f t="shared" si="76"/>
        <v>139.69999999999999</v>
      </c>
      <c r="AO180">
        <f t="shared" si="77"/>
        <v>125.7</v>
      </c>
      <c r="AP180">
        <f t="shared" si="78"/>
        <v>146.30000000000001</v>
      </c>
      <c r="AQ180">
        <f t="shared" si="79"/>
        <v>138.80000000000001</v>
      </c>
      <c r="AR180">
        <f t="shared" si="80"/>
        <v>157</v>
      </c>
      <c r="AS180">
        <f t="shared" si="81"/>
        <v>135.6</v>
      </c>
      <c r="AT180">
        <f t="shared" si="82"/>
        <v>125.6</v>
      </c>
      <c r="AU180">
        <f t="shared" si="83"/>
        <v>134</v>
      </c>
      <c r="AV180">
        <f t="shared" si="84"/>
        <v>139.1</v>
      </c>
      <c r="AW180">
        <f t="shared" si="85"/>
        <v>126.8</v>
      </c>
      <c r="AX180">
        <f t="shared" si="86"/>
        <v>129.30000000000001</v>
      </c>
      <c r="AY180">
        <f t="shared" si="87"/>
        <v>128.19999999999999</v>
      </c>
      <c r="AZ180">
        <f t="shared" si="88"/>
        <v>115.3</v>
      </c>
      <c r="BA180">
        <f t="shared" si="89"/>
        <v>125.6</v>
      </c>
      <c r="BB180">
        <f t="shared" si="90"/>
        <v>136.69999999999999</v>
      </c>
      <c r="BC180">
        <f t="shared" si="91"/>
        <v>124.6</v>
      </c>
      <c r="BD180">
        <f t="shared" si="92"/>
        <v>125.1</v>
      </c>
      <c r="BE180">
        <f t="shared" si="93"/>
        <v>134.1</v>
      </c>
      <c r="BF180">
        <f t="shared" si="94"/>
        <v>1767.5</v>
      </c>
      <c r="BG180">
        <f t="shared" si="95"/>
        <v>395.2</v>
      </c>
      <c r="BH180">
        <f t="shared" si="96"/>
        <v>252.79999999999998</v>
      </c>
      <c r="BI180">
        <f t="shared" si="97"/>
        <v>405.1</v>
      </c>
      <c r="BJ180">
        <f t="shared" si="98"/>
        <v>407.70000000000005</v>
      </c>
      <c r="BK180">
        <f t="shared" si="99"/>
        <v>242.1</v>
      </c>
    </row>
    <row r="181" spans="1:63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f t="shared" si="67"/>
        <v>135.80000000000001</v>
      </c>
      <c r="AF181">
        <f t="shared" si="68"/>
        <v>143.30000000000001</v>
      </c>
      <c r="AG181">
        <f t="shared" si="69"/>
        <v>145.19999999999999</v>
      </c>
      <c r="AH181">
        <f t="shared" si="70"/>
        <v>141</v>
      </c>
      <c r="AI181">
        <f t="shared" si="71"/>
        <v>120.5</v>
      </c>
      <c r="AJ181">
        <f t="shared" si="72"/>
        <v>141.5</v>
      </c>
      <c r="AK181">
        <f t="shared" si="73"/>
        <v>161.69999999999999</v>
      </c>
      <c r="AL181">
        <f t="shared" si="74"/>
        <v>129.1</v>
      </c>
      <c r="AM181">
        <f t="shared" si="75"/>
        <v>121.5</v>
      </c>
      <c r="AN181">
        <f t="shared" si="76"/>
        <v>137.1</v>
      </c>
      <c r="AO181">
        <f t="shared" si="77"/>
        <v>128.80000000000001</v>
      </c>
      <c r="AP181">
        <f t="shared" si="78"/>
        <v>149</v>
      </c>
      <c r="AQ181">
        <f t="shared" si="79"/>
        <v>140.5</v>
      </c>
      <c r="AR181">
        <f t="shared" si="80"/>
        <v>154.19999999999999</v>
      </c>
      <c r="AS181">
        <f t="shared" si="81"/>
        <v>143.1</v>
      </c>
      <c r="AT181">
        <f t="shared" si="82"/>
        <v>135.1</v>
      </c>
      <c r="AU181">
        <f t="shared" si="83"/>
        <v>142</v>
      </c>
      <c r="AV181">
        <f t="shared" si="84"/>
        <v>139.1</v>
      </c>
      <c r="AW181">
        <f t="shared" si="85"/>
        <v>136.6</v>
      </c>
      <c r="AX181">
        <f t="shared" si="86"/>
        <v>134.69999999999999</v>
      </c>
      <c r="AY181">
        <f t="shared" si="87"/>
        <v>133.1</v>
      </c>
      <c r="AZ181">
        <f t="shared" si="88"/>
        <v>118.5</v>
      </c>
      <c r="BA181">
        <f t="shared" si="89"/>
        <v>129</v>
      </c>
      <c r="BB181">
        <f t="shared" si="90"/>
        <v>138.5</v>
      </c>
      <c r="BC181">
        <f t="shared" si="91"/>
        <v>126.5</v>
      </c>
      <c r="BD181">
        <f t="shared" si="92"/>
        <v>128.6</v>
      </c>
      <c r="BE181">
        <f t="shared" si="93"/>
        <v>137.19999999999999</v>
      </c>
      <c r="BF181">
        <f t="shared" si="94"/>
        <v>1794.9999999999998</v>
      </c>
      <c r="BG181">
        <f t="shared" si="95"/>
        <v>420.2</v>
      </c>
      <c r="BH181">
        <f t="shared" si="96"/>
        <v>259.60000000000002</v>
      </c>
      <c r="BI181">
        <f t="shared" si="97"/>
        <v>412.29999999999995</v>
      </c>
      <c r="BJ181">
        <f t="shared" si="98"/>
        <v>411.79999999999995</v>
      </c>
      <c r="BK181">
        <f t="shared" si="99"/>
        <v>255.1</v>
      </c>
    </row>
    <row r="182" spans="1:63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f t="shared" si="67"/>
        <v>136.6</v>
      </c>
      <c r="AF182">
        <f t="shared" si="68"/>
        <v>144.4</v>
      </c>
      <c r="AG182">
        <f t="shared" si="69"/>
        <v>143.80000000000001</v>
      </c>
      <c r="AH182">
        <f t="shared" si="70"/>
        <v>142</v>
      </c>
      <c r="AI182">
        <f t="shared" si="71"/>
        <v>123.2</v>
      </c>
      <c r="AJ182">
        <f t="shared" si="72"/>
        <v>147.9</v>
      </c>
      <c r="AK182">
        <f t="shared" si="73"/>
        <v>152.1</v>
      </c>
      <c r="AL182">
        <f t="shared" si="74"/>
        <v>131.80000000000001</v>
      </c>
      <c r="AM182">
        <f t="shared" si="75"/>
        <v>119.5</v>
      </c>
      <c r="AN182">
        <f t="shared" si="76"/>
        <v>136</v>
      </c>
      <c r="AO182">
        <f t="shared" si="77"/>
        <v>131.19999999999999</v>
      </c>
      <c r="AP182">
        <f t="shared" si="78"/>
        <v>151.80000000000001</v>
      </c>
      <c r="AQ182">
        <f t="shared" si="79"/>
        <v>140.4</v>
      </c>
      <c r="AR182">
        <f t="shared" si="80"/>
        <v>153.6</v>
      </c>
      <c r="AS182">
        <f t="shared" si="81"/>
        <v>148.30000000000001</v>
      </c>
      <c r="AT182">
        <f t="shared" si="82"/>
        <v>142.30000000000001</v>
      </c>
      <c r="AU182">
        <f t="shared" si="83"/>
        <v>147.5</v>
      </c>
      <c r="AV182">
        <f t="shared" si="84"/>
        <v>140.4</v>
      </c>
      <c r="AW182">
        <f t="shared" si="85"/>
        <v>142.30000000000001</v>
      </c>
      <c r="AX182">
        <f t="shared" si="86"/>
        <v>139.80000000000001</v>
      </c>
      <c r="AY182">
        <f t="shared" si="87"/>
        <v>136</v>
      </c>
      <c r="AZ182">
        <f t="shared" si="88"/>
        <v>122.7</v>
      </c>
      <c r="BA182">
        <f t="shared" si="89"/>
        <v>134.30000000000001</v>
      </c>
      <c r="BB182">
        <f t="shared" si="90"/>
        <v>141.6</v>
      </c>
      <c r="BC182">
        <f t="shared" si="91"/>
        <v>128.6</v>
      </c>
      <c r="BD182">
        <f t="shared" si="92"/>
        <v>132.30000000000001</v>
      </c>
      <c r="BE182">
        <f t="shared" si="93"/>
        <v>139.30000000000001</v>
      </c>
      <c r="BF182">
        <f t="shared" si="94"/>
        <v>1800.7</v>
      </c>
      <c r="BG182">
        <f t="shared" si="95"/>
        <v>438.1</v>
      </c>
      <c r="BH182">
        <f t="shared" si="96"/>
        <v>264.60000000000002</v>
      </c>
      <c r="BI182">
        <f t="shared" si="97"/>
        <v>421.79999999999995</v>
      </c>
      <c r="BJ182">
        <f t="shared" si="98"/>
        <v>420.2</v>
      </c>
      <c r="BK182">
        <f t="shared" si="99"/>
        <v>265</v>
      </c>
    </row>
    <row r="183" spans="1:63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f t="shared" si="67"/>
        <v>134.6</v>
      </c>
      <c r="AF183">
        <f t="shared" si="68"/>
        <v>143.69999999999999</v>
      </c>
      <c r="AG183">
        <f t="shared" si="69"/>
        <v>143.6</v>
      </c>
      <c r="AH183">
        <f t="shared" si="70"/>
        <v>139.6</v>
      </c>
      <c r="AI183">
        <f t="shared" si="71"/>
        <v>116.4</v>
      </c>
      <c r="AJ183">
        <f t="shared" si="72"/>
        <v>133.80000000000001</v>
      </c>
      <c r="AK183">
        <f t="shared" si="73"/>
        <v>150.5</v>
      </c>
      <c r="AL183">
        <f t="shared" si="74"/>
        <v>118.4</v>
      </c>
      <c r="AM183">
        <f t="shared" si="75"/>
        <v>117.3</v>
      </c>
      <c r="AN183">
        <f t="shared" si="76"/>
        <v>140.5</v>
      </c>
      <c r="AO183">
        <f t="shared" si="77"/>
        <v>125.9</v>
      </c>
      <c r="AP183">
        <f t="shared" si="78"/>
        <v>146.80000000000001</v>
      </c>
      <c r="AQ183">
        <f t="shared" si="79"/>
        <v>137.19999999999999</v>
      </c>
      <c r="AR183">
        <f t="shared" si="80"/>
        <v>157.69999999999999</v>
      </c>
      <c r="AS183">
        <f t="shared" si="81"/>
        <v>136</v>
      </c>
      <c r="AT183">
        <f t="shared" si="82"/>
        <v>125.9</v>
      </c>
      <c r="AU183">
        <f t="shared" si="83"/>
        <v>134.4</v>
      </c>
      <c r="AV183">
        <f t="shared" si="84"/>
        <v>140.4</v>
      </c>
      <c r="AW183">
        <f t="shared" si="85"/>
        <v>127.3</v>
      </c>
      <c r="AX183">
        <f t="shared" si="86"/>
        <v>129.5</v>
      </c>
      <c r="AY183">
        <f t="shared" si="87"/>
        <v>129</v>
      </c>
      <c r="AZ183">
        <f t="shared" si="88"/>
        <v>116.3</v>
      </c>
      <c r="BA183">
        <f t="shared" si="89"/>
        <v>126.2</v>
      </c>
      <c r="BB183">
        <f t="shared" si="90"/>
        <v>137.1</v>
      </c>
      <c r="BC183">
        <f t="shared" si="91"/>
        <v>125.5</v>
      </c>
      <c r="BD183">
        <f t="shared" si="92"/>
        <v>125.8</v>
      </c>
      <c r="BE183">
        <f t="shared" si="93"/>
        <v>134.1</v>
      </c>
      <c r="BF183">
        <f t="shared" si="94"/>
        <v>1748.3000000000002</v>
      </c>
      <c r="BG183">
        <f t="shared" si="95"/>
        <v>396.29999999999995</v>
      </c>
      <c r="BH183">
        <f t="shared" si="96"/>
        <v>254.5</v>
      </c>
      <c r="BI183">
        <f t="shared" si="97"/>
        <v>407</v>
      </c>
      <c r="BJ183">
        <f t="shared" si="98"/>
        <v>409.7</v>
      </c>
      <c r="BK183">
        <f t="shared" si="99"/>
        <v>243.6</v>
      </c>
    </row>
    <row r="184" spans="1:63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f t="shared" si="67"/>
        <v>136</v>
      </c>
      <c r="AF184">
        <f t="shared" si="68"/>
        <v>144.19999999999999</v>
      </c>
      <c r="AG184">
        <f t="shared" si="69"/>
        <v>143.69999999999999</v>
      </c>
      <c r="AH184">
        <f t="shared" si="70"/>
        <v>141.1</v>
      </c>
      <c r="AI184">
        <f t="shared" si="71"/>
        <v>120.7</v>
      </c>
      <c r="AJ184">
        <f t="shared" si="72"/>
        <v>141.30000000000001</v>
      </c>
      <c r="AK184">
        <f t="shared" si="73"/>
        <v>151.6</v>
      </c>
      <c r="AL184">
        <f t="shared" si="74"/>
        <v>127.3</v>
      </c>
      <c r="AM184">
        <f t="shared" si="75"/>
        <v>118.8</v>
      </c>
      <c r="AN184">
        <f t="shared" si="76"/>
        <v>137.5</v>
      </c>
      <c r="AO184">
        <f t="shared" si="77"/>
        <v>129</v>
      </c>
      <c r="AP184">
        <f t="shared" si="78"/>
        <v>149.5</v>
      </c>
      <c r="AQ184">
        <f t="shared" si="79"/>
        <v>139.19999999999999</v>
      </c>
      <c r="AR184">
        <f t="shared" si="80"/>
        <v>154.69999999999999</v>
      </c>
      <c r="AS184">
        <f t="shared" si="81"/>
        <v>143.5</v>
      </c>
      <c r="AT184">
        <f t="shared" si="82"/>
        <v>135.5</v>
      </c>
      <c r="AU184">
        <f t="shared" si="83"/>
        <v>142.30000000000001</v>
      </c>
      <c r="AV184">
        <f t="shared" si="84"/>
        <v>140.4</v>
      </c>
      <c r="AW184">
        <f t="shared" si="85"/>
        <v>136.6</v>
      </c>
      <c r="AX184">
        <f t="shared" si="86"/>
        <v>134.9</v>
      </c>
      <c r="AY184">
        <f t="shared" si="87"/>
        <v>133.30000000000001</v>
      </c>
      <c r="AZ184">
        <f t="shared" si="88"/>
        <v>119.3</v>
      </c>
      <c r="BA184">
        <f t="shared" si="89"/>
        <v>129.69999999999999</v>
      </c>
      <c r="BB184">
        <f t="shared" si="90"/>
        <v>139</v>
      </c>
      <c r="BC184">
        <f t="shared" si="91"/>
        <v>127.3</v>
      </c>
      <c r="BD184">
        <f t="shared" si="92"/>
        <v>129.1</v>
      </c>
      <c r="BE184">
        <f t="shared" si="93"/>
        <v>136.9</v>
      </c>
      <c r="BF184">
        <f t="shared" si="94"/>
        <v>1779.9</v>
      </c>
      <c r="BG184">
        <f t="shared" si="95"/>
        <v>421.3</v>
      </c>
      <c r="BH184">
        <f t="shared" si="96"/>
        <v>260.60000000000002</v>
      </c>
      <c r="BI184">
        <f t="shared" si="97"/>
        <v>414.29999999999995</v>
      </c>
      <c r="BJ184">
        <f t="shared" si="98"/>
        <v>413.5</v>
      </c>
      <c r="BK184">
        <f t="shared" si="99"/>
        <v>255.89999999999998</v>
      </c>
    </row>
    <row r="185" spans="1:63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f t="shared" si="67"/>
        <v>136.4</v>
      </c>
      <c r="AF185">
        <f t="shared" si="68"/>
        <v>143.69999999999999</v>
      </c>
      <c r="AG185">
        <f t="shared" si="69"/>
        <v>140.6</v>
      </c>
      <c r="AH185">
        <f t="shared" si="70"/>
        <v>141.5</v>
      </c>
      <c r="AI185">
        <f t="shared" si="71"/>
        <v>122.9</v>
      </c>
      <c r="AJ185">
        <f t="shared" si="72"/>
        <v>149.4</v>
      </c>
      <c r="AK185">
        <f t="shared" si="73"/>
        <v>142.4</v>
      </c>
      <c r="AL185">
        <f t="shared" si="74"/>
        <v>130.19999999999999</v>
      </c>
      <c r="AM185">
        <f t="shared" si="75"/>
        <v>117.9</v>
      </c>
      <c r="AN185">
        <f t="shared" si="76"/>
        <v>135.6</v>
      </c>
      <c r="AO185">
        <f t="shared" si="77"/>
        <v>130.5</v>
      </c>
      <c r="AP185">
        <f t="shared" si="78"/>
        <v>151.69999999999999</v>
      </c>
      <c r="AQ185">
        <f t="shared" si="79"/>
        <v>138.69999999999999</v>
      </c>
      <c r="AR185">
        <f t="shared" si="80"/>
        <v>153.30000000000001</v>
      </c>
      <c r="AS185">
        <f t="shared" si="81"/>
        <v>148.69999999999999</v>
      </c>
      <c r="AT185">
        <f t="shared" si="82"/>
        <v>142.4</v>
      </c>
      <c r="AU185">
        <f t="shared" si="83"/>
        <v>147.80000000000001</v>
      </c>
      <c r="AV185">
        <f t="shared" si="84"/>
        <v>141.30000000000001</v>
      </c>
      <c r="AW185">
        <f t="shared" si="85"/>
        <v>142.4</v>
      </c>
      <c r="AX185">
        <f t="shared" si="86"/>
        <v>139.9</v>
      </c>
      <c r="AY185">
        <f t="shared" si="87"/>
        <v>136.19999999999999</v>
      </c>
      <c r="AZ185">
        <f t="shared" si="88"/>
        <v>123.3</v>
      </c>
      <c r="BA185">
        <f t="shared" si="89"/>
        <v>134.30000000000001</v>
      </c>
      <c r="BB185">
        <f t="shared" si="90"/>
        <v>141.5</v>
      </c>
      <c r="BC185">
        <f t="shared" si="91"/>
        <v>128.80000000000001</v>
      </c>
      <c r="BD185">
        <f t="shared" si="92"/>
        <v>132.5</v>
      </c>
      <c r="BE185">
        <f t="shared" si="93"/>
        <v>138.5</v>
      </c>
      <c r="BF185">
        <f t="shared" si="94"/>
        <v>1781.5</v>
      </c>
      <c r="BG185">
        <f t="shared" si="95"/>
        <v>438.90000000000003</v>
      </c>
      <c r="BH185">
        <f t="shared" si="96"/>
        <v>265</v>
      </c>
      <c r="BI185">
        <f t="shared" si="97"/>
        <v>422.7</v>
      </c>
      <c r="BJ185">
        <f t="shared" si="98"/>
        <v>420.1</v>
      </c>
      <c r="BK185">
        <f t="shared" si="99"/>
        <v>265.7</v>
      </c>
    </row>
    <row r="186" spans="1:63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f t="shared" si="67"/>
        <v>134.80000000000001</v>
      </c>
      <c r="AF186">
        <f t="shared" si="68"/>
        <v>143</v>
      </c>
      <c r="AG186">
        <f t="shared" si="69"/>
        <v>139.9</v>
      </c>
      <c r="AH186">
        <f t="shared" si="70"/>
        <v>139.9</v>
      </c>
      <c r="AI186">
        <f t="shared" si="71"/>
        <v>116.2</v>
      </c>
      <c r="AJ186">
        <f t="shared" si="72"/>
        <v>135.5</v>
      </c>
      <c r="AK186">
        <f t="shared" si="73"/>
        <v>136.9</v>
      </c>
      <c r="AL186">
        <f t="shared" si="74"/>
        <v>117</v>
      </c>
      <c r="AM186">
        <f t="shared" si="75"/>
        <v>115.4</v>
      </c>
      <c r="AN186">
        <f t="shared" si="76"/>
        <v>140.69999999999999</v>
      </c>
      <c r="AO186">
        <f t="shared" si="77"/>
        <v>125.9</v>
      </c>
      <c r="AP186">
        <f t="shared" si="78"/>
        <v>147.1</v>
      </c>
      <c r="AQ186">
        <f t="shared" si="79"/>
        <v>135.6</v>
      </c>
      <c r="AR186">
        <f t="shared" si="80"/>
        <v>159.30000000000001</v>
      </c>
      <c r="AS186">
        <f t="shared" si="81"/>
        <v>136.30000000000001</v>
      </c>
      <c r="AT186">
        <f t="shared" si="82"/>
        <v>126.1</v>
      </c>
      <c r="AU186">
        <f t="shared" si="83"/>
        <v>134.69999999999999</v>
      </c>
      <c r="AV186">
        <f t="shared" si="84"/>
        <v>141.30000000000001</v>
      </c>
      <c r="AW186">
        <f t="shared" si="85"/>
        <v>127.3</v>
      </c>
      <c r="AX186">
        <f t="shared" si="86"/>
        <v>129.9</v>
      </c>
      <c r="AY186">
        <f t="shared" si="87"/>
        <v>129.80000000000001</v>
      </c>
      <c r="AZ186">
        <f t="shared" si="88"/>
        <v>117.4</v>
      </c>
      <c r="BA186">
        <f t="shared" si="89"/>
        <v>126.5</v>
      </c>
      <c r="BB186">
        <f t="shared" si="90"/>
        <v>137.19999999999999</v>
      </c>
      <c r="BC186">
        <f t="shared" si="91"/>
        <v>126.2</v>
      </c>
      <c r="BD186">
        <f t="shared" si="92"/>
        <v>126.5</v>
      </c>
      <c r="BE186">
        <f t="shared" si="93"/>
        <v>134</v>
      </c>
      <c r="BF186">
        <f t="shared" si="94"/>
        <v>1727.9</v>
      </c>
      <c r="BG186">
        <f t="shared" si="95"/>
        <v>397.09999999999997</v>
      </c>
      <c r="BH186">
        <f t="shared" si="96"/>
        <v>256</v>
      </c>
      <c r="BI186">
        <f t="shared" si="97"/>
        <v>408.40000000000003</v>
      </c>
      <c r="BJ186">
        <f t="shared" si="98"/>
        <v>412.3</v>
      </c>
      <c r="BK186">
        <f t="shared" si="99"/>
        <v>244.7</v>
      </c>
    </row>
    <row r="187" spans="1:63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f t="shared" si="67"/>
        <v>135.9</v>
      </c>
      <c r="AF187">
        <f t="shared" si="68"/>
        <v>143.5</v>
      </c>
      <c r="AG187">
        <f t="shared" si="69"/>
        <v>140.30000000000001</v>
      </c>
      <c r="AH187">
        <f t="shared" si="70"/>
        <v>140.9</v>
      </c>
      <c r="AI187">
        <f t="shared" si="71"/>
        <v>120.4</v>
      </c>
      <c r="AJ187">
        <f t="shared" si="72"/>
        <v>142.9</v>
      </c>
      <c r="AK187">
        <f t="shared" si="73"/>
        <v>140.5</v>
      </c>
      <c r="AL187">
        <f t="shared" si="74"/>
        <v>125.8</v>
      </c>
      <c r="AM187">
        <f t="shared" si="75"/>
        <v>117.1</v>
      </c>
      <c r="AN187">
        <f t="shared" si="76"/>
        <v>137.30000000000001</v>
      </c>
      <c r="AO187">
        <f t="shared" si="77"/>
        <v>128.6</v>
      </c>
      <c r="AP187">
        <f t="shared" si="78"/>
        <v>149.6</v>
      </c>
      <c r="AQ187">
        <f t="shared" si="79"/>
        <v>137.6</v>
      </c>
      <c r="AR187">
        <f t="shared" si="80"/>
        <v>154.9</v>
      </c>
      <c r="AS187">
        <f t="shared" si="81"/>
        <v>143.80000000000001</v>
      </c>
      <c r="AT187">
        <f t="shared" si="82"/>
        <v>135.6</v>
      </c>
      <c r="AU187">
        <f t="shared" si="83"/>
        <v>142.6</v>
      </c>
      <c r="AV187">
        <f t="shared" si="84"/>
        <v>141.30000000000001</v>
      </c>
      <c r="AW187">
        <f t="shared" si="85"/>
        <v>136.69999999999999</v>
      </c>
      <c r="AX187">
        <f t="shared" si="86"/>
        <v>135.19999999999999</v>
      </c>
      <c r="AY187">
        <f t="shared" si="87"/>
        <v>133.80000000000001</v>
      </c>
      <c r="AZ187">
        <f t="shared" si="88"/>
        <v>120.2</v>
      </c>
      <c r="BA187">
        <f t="shared" si="89"/>
        <v>129.9</v>
      </c>
      <c r="BB187">
        <f t="shared" si="90"/>
        <v>139</v>
      </c>
      <c r="BC187">
        <f t="shared" si="91"/>
        <v>127.7</v>
      </c>
      <c r="BD187">
        <f t="shared" si="92"/>
        <v>129.6</v>
      </c>
      <c r="BE187">
        <f t="shared" si="93"/>
        <v>136.4</v>
      </c>
      <c r="BF187">
        <f t="shared" si="94"/>
        <v>1760.3999999999996</v>
      </c>
      <c r="BG187">
        <f t="shared" si="95"/>
        <v>422</v>
      </c>
      <c r="BH187">
        <f t="shared" si="96"/>
        <v>261.5</v>
      </c>
      <c r="BI187">
        <f t="shared" si="97"/>
        <v>415.5</v>
      </c>
      <c r="BJ187">
        <f t="shared" si="98"/>
        <v>414.4</v>
      </c>
      <c r="BK187">
        <f t="shared" si="99"/>
        <v>256.89999999999998</v>
      </c>
    </row>
    <row r="188" spans="1:63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f t="shared" si="67"/>
        <v>136.80000000000001</v>
      </c>
      <c r="AF188">
        <f t="shared" si="68"/>
        <v>143.80000000000001</v>
      </c>
      <c r="AG188">
        <f t="shared" si="69"/>
        <v>140</v>
      </c>
      <c r="AH188">
        <f t="shared" si="70"/>
        <v>142</v>
      </c>
      <c r="AI188">
        <f t="shared" si="71"/>
        <v>123.2</v>
      </c>
      <c r="AJ188">
        <f t="shared" si="72"/>
        <v>152.9</v>
      </c>
      <c r="AK188">
        <f t="shared" si="73"/>
        <v>138</v>
      </c>
      <c r="AL188">
        <f t="shared" si="74"/>
        <v>129.30000000000001</v>
      </c>
      <c r="AM188">
        <f t="shared" si="75"/>
        <v>117.1</v>
      </c>
      <c r="AN188">
        <f t="shared" si="76"/>
        <v>136.30000000000001</v>
      </c>
      <c r="AO188">
        <f t="shared" si="77"/>
        <v>131.19999999999999</v>
      </c>
      <c r="AP188">
        <f t="shared" si="78"/>
        <v>152.80000000000001</v>
      </c>
      <c r="AQ188">
        <f t="shared" si="79"/>
        <v>138.6</v>
      </c>
      <c r="AR188">
        <f t="shared" si="80"/>
        <v>155.1</v>
      </c>
      <c r="AS188">
        <f t="shared" si="81"/>
        <v>149.19999999999999</v>
      </c>
      <c r="AT188">
        <f t="shared" si="82"/>
        <v>143</v>
      </c>
      <c r="AU188">
        <f t="shared" si="83"/>
        <v>148.30000000000001</v>
      </c>
      <c r="AV188">
        <f t="shared" si="84"/>
        <v>142</v>
      </c>
      <c r="AW188">
        <f t="shared" si="85"/>
        <v>142.6</v>
      </c>
      <c r="AX188">
        <f t="shared" si="86"/>
        <v>139.9</v>
      </c>
      <c r="AY188">
        <f t="shared" si="87"/>
        <v>136.69999999999999</v>
      </c>
      <c r="AZ188">
        <f t="shared" si="88"/>
        <v>124.6</v>
      </c>
      <c r="BA188">
        <f t="shared" si="89"/>
        <v>135.1</v>
      </c>
      <c r="BB188">
        <f t="shared" si="90"/>
        <v>142.69999999999999</v>
      </c>
      <c r="BC188">
        <f t="shared" si="91"/>
        <v>129.30000000000001</v>
      </c>
      <c r="BD188">
        <f t="shared" si="92"/>
        <v>133.30000000000001</v>
      </c>
      <c r="BE188">
        <f t="shared" si="93"/>
        <v>138.69999999999999</v>
      </c>
      <c r="BF188">
        <f t="shared" si="94"/>
        <v>1781.9999999999998</v>
      </c>
      <c r="BG188">
        <f t="shared" si="95"/>
        <v>440.5</v>
      </c>
      <c r="BH188">
        <f t="shared" si="96"/>
        <v>266</v>
      </c>
      <c r="BI188">
        <f t="shared" si="97"/>
        <v>424.6</v>
      </c>
      <c r="BJ188">
        <f t="shared" si="98"/>
        <v>423.5</v>
      </c>
      <c r="BK188">
        <f t="shared" si="99"/>
        <v>267.2</v>
      </c>
    </row>
    <row r="189" spans="1:63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f t="shared" si="67"/>
        <v>135</v>
      </c>
      <c r="AF189">
        <f t="shared" si="68"/>
        <v>143.1</v>
      </c>
      <c r="AG189">
        <f t="shared" si="69"/>
        <v>135.5</v>
      </c>
      <c r="AH189">
        <f t="shared" si="70"/>
        <v>139.9</v>
      </c>
      <c r="AI189">
        <f t="shared" si="71"/>
        <v>116.5</v>
      </c>
      <c r="AJ189">
        <f t="shared" si="72"/>
        <v>138.5</v>
      </c>
      <c r="AK189">
        <f t="shared" si="73"/>
        <v>128</v>
      </c>
      <c r="AL189">
        <f t="shared" si="74"/>
        <v>115.5</v>
      </c>
      <c r="AM189">
        <f t="shared" si="75"/>
        <v>114.2</v>
      </c>
      <c r="AN189">
        <f t="shared" si="76"/>
        <v>140.69999999999999</v>
      </c>
      <c r="AO189">
        <f t="shared" si="77"/>
        <v>126.2</v>
      </c>
      <c r="AP189">
        <f t="shared" si="78"/>
        <v>147.6</v>
      </c>
      <c r="AQ189">
        <f t="shared" si="79"/>
        <v>134.80000000000001</v>
      </c>
      <c r="AR189">
        <f t="shared" si="80"/>
        <v>159.69999999999999</v>
      </c>
      <c r="AS189">
        <f t="shared" si="81"/>
        <v>136.69999999999999</v>
      </c>
      <c r="AT189">
        <f t="shared" si="82"/>
        <v>126.7</v>
      </c>
      <c r="AU189">
        <f t="shared" si="83"/>
        <v>135.19999999999999</v>
      </c>
      <c r="AV189">
        <f t="shared" si="84"/>
        <v>142</v>
      </c>
      <c r="AW189">
        <f t="shared" si="85"/>
        <v>126.4</v>
      </c>
      <c r="AX189">
        <f t="shared" si="86"/>
        <v>130.80000000000001</v>
      </c>
      <c r="AY189">
        <f t="shared" si="87"/>
        <v>130.5</v>
      </c>
      <c r="AZ189">
        <f t="shared" si="88"/>
        <v>117.8</v>
      </c>
      <c r="BA189">
        <f t="shared" si="89"/>
        <v>126.8</v>
      </c>
      <c r="BB189">
        <f t="shared" si="90"/>
        <v>137.80000000000001</v>
      </c>
      <c r="BC189">
        <f t="shared" si="91"/>
        <v>126.7</v>
      </c>
      <c r="BD189">
        <f t="shared" si="92"/>
        <v>127.1</v>
      </c>
      <c r="BE189">
        <f t="shared" si="93"/>
        <v>134</v>
      </c>
      <c r="BF189">
        <f t="shared" si="94"/>
        <v>1715.5</v>
      </c>
      <c r="BG189">
        <f t="shared" si="95"/>
        <v>398.59999999999997</v>
      </c>
      <c r="BH189">
        <f t="shared" si="96"/>
        <v>257.2</v>
      </c>
      <c r="BI189">
        <f t="shared" si="97"/>
        <v>410.6</v>
      </c>
      <c r="BJ189">
        <f t="shared" si="98"/>
        <v>413.6</v>
      </c>
      <c r="BK189">
        <f t="shared" si="99"/>
        <v>244.2</v>
      </c>
    </row>
    <row r="190" spans="1:63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f t="shared" si="67"/>
        <v>136.19999999999999</v>
      </c>
      <c r="AF190">
        <f t="shared" si="68"/>
        <v>143.6</v>
      </c>
      <c r="AG190">
        <f t="shared" si="69"/>
        <v>138.30000000000001</v>
      </c>
      <c r="AH190">
        <f t="shared" si="70"/>
        <v>141.19999999999999</v>
      </c>
      <c r="AI190">
        <f t="shared" si="71"/>
        <v>120.7</v>
      </c>
      <c r="AJ190">
        <f t="shared" si="72"/>
        <v>146.19999999999999</v>
      </c>
      <c r="AK190">
        <f t="shared" si="73"/>
        <v>134.6</v>
      </c>
      <c r="AL190">
        <f t="shared" si="74"/>
        <v>124.6</v>
      </c>
      <c r="AM190">
        <f t="shared" si="75"/>
        <v>116.1</v>
      </c>
      <c r="AN190">
        <f t="shared" si="76"/>
        <v>137.80000000000001</v>
      </c>
      <c r="AO190">
        <f t="shared" si="77"/>
        <v>129.1</v>
      </c>
      <c r="AP190">
        <f t="shared" si="78"/>
        <v>150.4</v>
      </c>
      <c r="AQ190">
        <f t="shared" si="79"/>
        <v>137.19999999999999</v>
      </c>
      <c r="AR190">
        <f t="shared" si="80"/>
        <v>156.30000000000001</v>
      </c>
      <c r="AS190">
        <f t="shared" si="81"/>
        <v>144.30000000000001</v>
      </c>
      <c r="AT190">
        <f t="shared" si="82"/>
        <v>136.19999999999999</v>
      </c>
      <c r="AU190">
        <f t="shared" si="83"/>
        <v>143.1</v>
      </c>
      <c r="AV190">
        <f t="shared" si="84"/>
        <v>142</v>
      </c>
      <c r="AW190">
        <f t="shared" si="85"/>
        <v>136.5</v>
      </c>
      <c r="AX190">
        <f t="shared" si="86"/>
        <v>135.6</v>
      </c>
      <c r="AY190">
        <f t="shared" si="87"/>
        <v>134.30000000000001</v>
      </c>
      <c r="AZ190">
        <f t="shared" si="88"/>
        <v>121</v>
      </c>
      <c r="BA190">
        <f t="shared" si="89"/>
        <v>130.4</v>
      </c>
      <c r="BB190">
        <f t="shared" si="90"/>
        <v>139.80000000000001</v>
      </c>
      <c r="BC190">
        <f t="shared" si="91"/>
        <v>128.19999999999999</v>
      </c>
      <c r="BD190">
        <f t="shared" si="92"/>
        <v>130.30000000000001</v>
      </c>
      <c r="BE190">
        <f t="shared" si="93"/>
        <v>136.5</v>
      </c>
      <c r="BF190">
        <f t="shared" si="94"/>
        <v>1756</v>
      </c>
      <c r="BG190">
        <f t="shared" si="95"/>
        <v>423.6</v>
      </c>
      <c r="BH190">
        <f t="shared" si="96"/>
        <v>262.5</v>
      </c>
      <c r="BI190">
        <f t="shared" si="97"/>
        <v>417.4</v>
      </c>
      <c r="BJ190">
        <f t="shared" si="98"/>
        <v>417.00000000000006</v>
      </c>
      <c r="BK190">
        <f t="shared" si="99"/>
        <v>257.5</v>
      </c>
    </row>
    <row r="191" spans="1:63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f t="shared" si="67"/>
        <v>137.1</v>
      </c>
      <c r="AF191">
        <f t="shared" si="68"/>
        <v>144.5</v>
      </c>
      <c r="AG191">
        <f t="shared" si="69"/>
        <v>135.9</v>
      </c>
      <c r="AH191">
        <f t="shared" si="70"/>
        <v>142.4</v>
      </c>
      <c r="AI191">
        <f t="shared" si="71"/>
        <v>123.5</v>
      </c>
      <c r="AJ191">
        <f t="shared" si="72"/>
        <v>156.4</v>
      </c>
      <c r="AK191">
        <f t="shared" si="73"/>
        <v>135.1</v>
      </c>
      <c r="AL191">
        <f t="shared" si="74"/>
        <v>128.4</v>
      </c>
      <c r="AM191">
        <f t="shared" si="75"/>
        <v>115.2</v>
      </c>
      <c r="AN191">
        <f t="shared" si="76"/>
        <v>137.19999999999999</v>
      </c>
      <c r="AO191">
        <f t="shared" si="77"/>
        <v>131.9</v>
      </c>
      <c r="AP191">
        <f t="shared" si="78"/>
        <v>153.80000000000001</v>
      </c>
      <c r="AQ191">
        <f t="shared" si="79"/>
        <v>138.6</v>
      </c>
      <c r="AR191">
        <f t="shared" si="80"/>
        <v>156.1</v>
      </c>
      <c r="AS191">
        <f t="shared" si="81"/>
        <v>150.1</v>
      </c>
      <c r="AT191">
        <f t="shared" si="82"/>
        <v>143.30000000000001</v>
      </c>
      <c r="AU191">
        <f t="shared" si="83"/>
        <v>149.1</v>
      </c>
      <c r="AV191">
        <f t="shared" si="84"/>
        <v>142.9</v>
      </c>
      <c r="AW191">
        <f t="shared" si="85"/>
        <v>143.80000000000001</v>
      </c>
      <c r="AX191">
        <f t="shared" si="86"/>
        <v>140.9</v>
      </c>
      <c r="AY191">
        <f t="shared" si="87"/>
        <v>137.6</v>
      </c>
      <c r="AZ191">
        <f t="shared" si="88"/>
        <v>125.3</v>
      </c>
      <c r="BA191">
        <f t="shared" si="89"/>
        <v>136</v>
      </c>
      <c r="BB191">
        <f t="shared" si="90"/>
        <v>143.69999999999999</v>
      </c>
      <c r="BC191">
        <f t="shared" si="91"/>
        <v>130.4</v>
      </c>
      <c r="BD191">
        <f t="shared" si="92"/>
        <v>134.19999999999999</v>
      </c>
      <c r="BE191">
        <f t="shared" si="93"/>
        <v>139.1</v>
      </c>
      <c r="BF191">
        <f t="shared" si="94"/>
        <v>1780</v>
      </c>
      <c r="BG191">
        <f t="shared" si="95"/>
        <v>442.5</v>
      </c>
      <c r="BH191">
        <f t="shared" si="96"/>
        <v>268</v>
      </c>
      <c r="BI191">
        <f t="shared" si="97"/>
        <v>427.5</v>
      </c>
      <c r="BJ191">
        <f t="shared" si="98"/>
        <v>426.3</v>
      </c>
      <c r="BK191">
        <f t="shared" si="99"/>
        <v>269.10000000000002</v>
      </c>
    </row>
    <row r="192" spans="1:63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f t="shared" si="67"/>
        <v>135</v>
      </c>
      <c r="AF192">
        <f t="shared" si="68"/>
        <v>144.30000000000001</v>
      </c>
      <c r="AG192">
        <f t="shared" si="69"/>
        <v>130.80000000000001</v>
      </c>
      <c r="AH192">
        <f t="shared" si="70"/>
        <v>140.30000000000001</v>
      </c>
      <c r="AI192">
        <f t="shared" si="71"/>
        <v>116.6</v>
      </c>
      <c r="AJ192">
        <f t="shared" si="72"/>
        <v>150.1</v>
      </c>
      <c r="AK192">
        <f t="shared" si="73"/>
        <v>127.6</v>
      </c>
      <c r="AL192">
        <f t="shared" si="74"/>
        <v>114</v>
      </c>
      <c r="AM192">
        <f t="shared" si="75"/>
        <v>110.6</v>
      </c>
      <c r="AN192">
        <f t="shared" si="76"/>
        <v>140.19999999999999</v>
      </c>
      <c r="AO192">
        <f t="shared" si="77"/>
        <v>126.5</v>
      </c>
      <c r="AP192">
        <f t="shared" si="78"/>
        <v>148.30000000000001</v>
      </c>
      <c r="AQ192">
        <f t="shared" si="79"/>
        <v>135.69999999999999</v>
      </c>
      <c r="AR192">
        <f t="shared" si="80"/>
        <v>159.19999999999999</v>
      </c>
      <c r="AS192">
        <f t="shared" si="81"/>
        <v>137.80000000000001</v>
      </c>
      <c r="AT192">
        <f t="shared" si="82"/>
        <v>127.4</v>
      </c>
      <c r="AU192">
        <f t="shared" si="83"/>
        <v>136.19999999999999</v>
      </c>
      <c r="AV192">
        <f t="shared" si="84"/>
        <v>142.9</v>
      </c>
      <c r="AW192">
        <f t="shared" si="85"/>
        <v>124.6</v>
      </c>
      <c r="AX192">
        <f t="shared" si="86"/>
        <v>131.80000000000001</v>
      </c>
      <c r="AY192">
        <f t="shared" si="87"/>
        <v>131.30000000000001</v>
      </c>
      <c r="AZ192">
        <f t="shared" si="88"/>
        <v>118.9</v>
      </c>
      <c r="BA192">
        <f t="shared" si="89"/>
        <v>127.6</v>
      </c>
      <c r="BB192">
        <f t="shared" si="90"/>
        <v>139.69999999999999</v>
      </c>
      <c r="BC192">
        <f t="shared" si="91"/>
        <v>127.6</v>
      </c>
      <c r="BD192">
        <f t="shared" si="92"/>
        <v>128.19999999999999</v>
      </c>
      <c r="BE192">
        <f t="shared" si="93"/>
        <v>134.80000000000001</v>
      </c>
      <c r="BF192">
        <f t="shared" si="94"/>
        <v>1720.0000000000002</v>
      </c>
      <c r="BG192">
        <f t="shared" si="95"/>
        <v>401.40000000000003</v>
      </c>
      <c r="BH192">
        <f t="shared" si="96"/>
        <v>258.89999999999998</v>
      </c>
      <c r="BI192">
        <f t="shared" si="97"/>
        <v>414.4</v>
      </c>
      <c r="BJ192">
        <f t="shared" si="98"/>
        <v>414.99999999999994</v>
      </c>
      <c r="BK192">
        <f t="shared" si="99"/>
        <v>243.5</v>
      </c>
    </row>
    <row r="193" spans="1:63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f t="shared" si="67"/>
        <v>136.4</v>
      </c>
      <c r="AF193">
        <f t="shared" si="68"/>
        <v>144.4</v>
      </c>
      <c r="AG193">
        <f t="shared" si="69"/>
        <v>133.9</v>
      </c>
      <c r="AH193">
        <f t="shared" si="70"/>
        <v>141.6</v>
      </c>
      <c r="AI193">
        <f t="shared" si="71"/>
        <v>121</v>
      </c>
      <c r="AJ193">
        <f t="shared" si="72"/>
        <v>153.5</v>
      </c>
      <c r="AK193">
        <f t="shared" si="73"/>
        <v>132.6</v>
      </c>
      <c r="AL193">
        <f t="shared" si="74"/>
        <v>123.5</v>
      </c>
      <c r="AM193">
        <f t="shared" si="75"/>
        <v>113.7</v>
      </c>
      <c r="AN193">
        <f t="shared" si="76"/>
        <v>138.19999999999999</v>
      </c>
      <c r="AO193">
        <f t="shared" si="77"/>
        <v>129.6</v>
      </c>
      <c r="AP193">
        <f t="shared" si="78"/>
        <v>151.19999999999999</v>
      </c>
      <c r="AQ193">
        <f t="shared" si="79"/>
        <v>137.5</v>
      </c>
      <c r="AR193">
        <f t="shared" si="80"/>
        <v>156.9</v>
      </c>
      <c r="AS193">
        <f t="shared" si="81"/>
        <v>145.30000000000001</v>
      </c>
      <c r="AT193">
        <f t="shared" si="82"/>
        <v>136.69999999999999</v>
      </c>
      <c r="AU193">
        <f t="shared" si="83"/>
        <v>144</v>
      </c>
      <c r="AV193">
        <f t="shared" si="84"/>
        <v>142.9</v>
      </c>
      <c r="AW193">
        <f t="shared" si="85"/>
        <v>136.5</v>
      </c>
      <c r="AX193">
        <f t="shared" si="86"/>
        <v>136.6</v>
      </c>
      <c r="AY193">
        <f t="shared" si="87"/>
        <v>135.19999999999999</v>
      </c>
      <c r="AZ193">
        <f t="shared" si="88"/>
        <v>121.9</v>
      </c>
      <c r="BA193">
        <f t="shared" si="89"/>
        <v>131.30000000000001</v>
      </c>
      <c r="BB193">
        <f t="shared" si="90"/>
        <v>141.4</v>
      </c>
      <c r="BC193">
        <f t="shared" si="91"/>
        <v>129.19999999999999</v>
      </c>
      <c r="BD193">
        <f t="shared" si="92"/>
        <v>131.30000000000001</v>
      </c>
      <c r="BE193">
        <f t="shared" si="93"/>
        <v>137.1</v>
      </c>
      <c r="BF193">
        <f t="shared" si="94"/>
        <v>1757.1000000000001</v>
      </c>
      <c r="BG193">
        <f t="shared" si="95"/>
        <v>426</v>
      </c>
      <c r="BH193">
        <f t="shared" si="96"/>
        <v>264.39999999999998</v>
      </c>
      <c r="BI193">
        <f t="shared" si="97"/>
        <v>420.9</v>
      </c>
      <c r="BJ193">
        <f t="shared" si="98"/>
        <v>419.50000000000006</v>
      </c>
      <c r="BK193">
        <f t="shared" si="99"/>
        <v>258.39999999999998</v>
      </c>
    </row>
    <row r="194" spans="1:63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f t="shared" si="67"/>
        <v>137.4</v>
      </c>
      <c r="AF194">
        <f t="shared" si="68"/>
        <v>145.69999999999999</v>
      </c>
      <c r="AG194">
        <f t="shared" si="69"/>
        <v>135.5</v>
      </c>
      <c r="AH194">
        <f t="shared" si="70"/>
        <v>142.9</v>
      </c>
      <c r="AI194">
        <f t="shared" si="71"/>
        <v>123.6</v>
      </c>
      <c r="AJ194">
        <f t="shared" si="72"/>
        <v>157.5</v>
      </c>
      <c r="AK194">
        <f t="shared" si="73"/>
        <v>137.80000000000001</v>
      </c>
      <c r="AL194">
        <f t="shared" si="74"/>
        <v>127.2</v>
      </c>
      <c r="AM194">
        <f t="shared" si="75"/>
        <v>111.8</v>
      </c>
      <c r="AN194">
        <f t="shared" si="76"/>
        <v>137.4</v>
      </c>
      <c r="AO194">
        <f t="shared" si="77"/>
        <v>132.19999999999999</v>
      </c>
      <c r="AP194">
        <f t="shared" si="78"/>
        <v>154.30000000000001</v>
      </c>
      <c r="AQ194">
        <f t="shared" si="79"/>
        <v>139.1</v>
      </c>
      <c r="AR194">
        <f t="shared" si="80"/>
        <v>157</v>
      </c>
      <c r="AS194">
        <f t="shared" si="81"/>
        <v>150.80000000000001</v>
      </c>
      <c r="AT194">
        <f t="shared" si="82"/>
        <v>144.1</v>
      </c>
      <c r="AU194">
        <f t="shared" si="83"/>
        <v>149.80000000000001</v>
      </c>
      <c r="AV194">
        <f t="shared" si="84"/>
        <v>143.19999999999999</v>
      </c>
      <c r="AW194">
        <f t="shared" si="85"/>
        <v>144.30000000000001</v>
      </c>
      <c r="AX194">
        <f t="shared" si="86"/>
        <v>141.80000000000001</v>
      </c>
      <c r="AY194">
        <f t="shared" si="87"/>
        <v>138.4</v>
      </c>
      <c r="AZ194">
        <f t="shared" si="88"/>
        <v>126.4</v>
      </c>
      <c r="BA194">
        <f t="shared" si="89"/>
        <v>136.80000000000001</v>
      </c>
      <c r="BB194">
        <f t="shared" si="90"/>
        <v>144.4</v>
      </c>
      <c r="BC194">
        <f t="shared" si="91"/>
        <v>131.19999999999999</v>
      </c>
      <c r="BD194">
        <f t="shared" si="92"/>
        <v>135.1</v>
      </c>
      <c r="BE194">
        <f t="shared" si="93"/>
        <v>139.80000000000001</v>
      </c>
      <c r="BF194">
        <f t="shared" si="94"/>
        <v>1782.4</v>
      </c>
      <c r="BG194">
        <f t="shared" si="95"/>
        <v>444.7</v>
      </c>
      <c r="BH194">
        <f t="shared" si="96"/>
        <v>269.60000000000002</v>
      </c>
      <c r="BI194">
        <f t="shared" si="97"/>
        <v>429.40000000000003</v>
      </c>
      <c r="BJ194">
        <f t="shared" si="98"/>
        <v>428.9</v>
      </c>
      <c r="BK194">
        <f t="shared" si="99"/>
        <v>270.70000000000005</v>
      </c>
    </row>
    <row r="195" spans="1:63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f t="shared" ref="AE195:AE261" si="100">D195</f>
        <v>135</v>
      </c>
      <c r="AF195">
        <f t="shared" ref="AF195:AF261" si="101">E195</f>
        <v>148.19999999999999</v>
      </c>
      <c r="AG195">
        <f t="shared" ref="AG195:AG261" si="102">F195</f>
        <v>130.5</v>
      </c>
      <c r="AH195">
        <f t="shared" ref="AH195:AH261" si="103">G195</f>
        <v>140.69999999999999</v>
      </c>
      <c r="AI195">
        <f t="shared" ref="AI195:AI261" si="104">H195</f>
        <v>116.4</v>
      </c>
      <c r="AJ195">
        <f t="shared" ref="AJ195:AJ261" si="105">I195</f>
        <v>151.30000000000001</v>
      </c>
      <c r="AK195">
        <f t="shared" ref="AK195:AK261" si="106">J195</f>
        <v>131.4</v>
      </c>
      <c r="AL195">
        <f t="shared" ref="AL195:AL261" si="107">K195</f>
        <v>112.8</v>
      </c>
      <c r="AM195">
        <f t="shared" ref="AM195:AM261" si="108">L195</f>
        <v>105.3</v>
      </c>
      <c r="AN195">
        <f t="shared" ref="AN195:AN261" si="109">M195</f>
        <v>139.6</v>
      </c>
      <c r="AO195">
        <f t="shared" ref="AO195:AO261" si="110">N195</f>
        <v>126.6</v>
      </c>
      <c r="AP195">
        <f t="shared" ref="AP195:AP261" si="111">O195</f>
        <v>148.69999999999999</v>
      </c>
      <c r="AQ195">
        <f t="shared" ref="AQ195:AQ261" si="112">P195</f>
        <v>136.4</v>
      </c>
      <c r="AR195">
        <f t="shared" ref="AR195:AR261" si="113">Q195</f>
        <v>160.30000000000001</v>
      </c>
      <c r="AS195">
        <f t="shared" ref="AS195:AS261" si="114">R195</f>
        <v>138.6</v>
      </c>
      <c r="AT195">
        <f t="shared" ref="AT195:AT261" si="115">S195</f>
        <v>127.9</v>
      </c>
      <c r="AU195">
        <f t="shared" ref="AU195:AU261" si="116">T195</f>
        <v>137</v>
      </c>
      <c r="AV195">
        <f t="shared" ref="AV195:AV261" si="117">IF(OR(U195="NA",U195="-"),AVERAGE(AV196:AV197),U195)</f>
        <v>143.19999999999999</v>
      </c>
      <c r="AW195">
        <f t="shared" ref="AW195:AW261" si="118">V195</f>
        <v>124.7</v>
      </c>
      <c r="AX195">
        <f t="shared" ref="AX195:AX261" si="119">W195</f>
        <v>132.5</v>
      </c>
      <c r="AY195">
        <f t="shared" ref="AY195:AY261" si="120">X195</f>
        <v>132</v>
      </c>
      <c r="AZ195">
        <f t="shared" ref="AZ195:AZ261" si="121">Y195</f>
        <v>119.8</v>
      </c>
      <c r="BA195">
        <f t="shared" ref="BA195:BA261" si="122">Z195</f>
        <v>128</v>
      </c>
      <c r="BB195">
        <f t="shared" ref="BB195:BB261" si="123">AA195</f>
        <v>140.4</v>
      </c>
      <c r="BC195">
        <f t="shared" ref="BC195:BC261" si="124">AB195</f>
        <v>128.1</v>
      </c>
      <c r="BD195">
        <f t="shared" ref="BD195:BD261" si="125">AC195</f>
        <v>128.9</v>
      </c>
      <c r="BE195">
        <f t="shared" ref="BE195:BE261" si="126">AD195</f>
        <v>135.4</v>
      </c>
      <c r="BF195">
        <f t="shared" ref="BF195:BF261" si="127">SUM(AE195:AQ195)</f>
        <v>1722.8999999999999</v>
      </c>
      <c r="BG195">
        <f t="shared" ref="BG195:BG261" si="128">SUM(AS195:AU195)</f>
        <v>403.5</v>
      </c>
      <c r="BH195">
        <f t="shared" ref="BH195:BH261" si="129">SUM(AY195+BC195)</f>
        <v>260.10000000000002</v>
      </c>
      <c r="BI195">
        <f t="shared" ref="BI195:BI261" si="130">BB195+AX195+AV195</f>
        <v>416.09999999999997</v>
      </c>
      <c r="BJ195">
        <f t="shared" ref="BJ195:BJ261" si="131">SUM(AR195+BA195+BD195)</f>
        <v>417.20000000000005</v>
      </c>
      <c r="BK195">
        <f t="shared" ref="BK195:BK261" si="132">AZ195+AW195</f>
        <v>244.5</v>
      </c>
    </row>
    <row r="196" spans="1:63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f t="shared" si="100"/>
        <v>136.6</v>
      </c>
      <c r="AF196">
        <f t="shared" si="101"/>
        <v>146.6</v>
      </c>
      <c r="AG196">
        <f t="shared" si="102"/>
        <v>133.6</v>
      </c>
      <c r="AH196">
        <f t="shared" si="103"/>
        <v>142.1</v>
      </c>
      <c r="AI196">
        <f t="shared" si="104"/>
        <v>121</v>
      </c>
      <c r="AJ196">
        <f t="shared" si="105"/>
        <v>154.6</v>
      </c>
      <c r="AK196">
        <f t="shared" si="106"/>
        <v>135.6</v>
      </c>
      <c r="AL196">
        <f t="shared" si="107"/>
        <v>122.3</v>
      </c>
      <c r="AM196">
        <f t="shared" si="108"/>
        <v>109.6</v>
      </c>
      <c r="AN196">
        <f t="shared" si="109"/>
        <v>138.1</v>
      </c>
      <c r="AO196">
        <f t="shared" si="110"/>
        <v>129.9</v>
      </c>
      <c r="AP196">
        <f t="shared" si="111"/>
        <v>151.69999999999999</v>
      </c>
      <c r="AQ196">
        <f t="shared" si="112"/>
        <v>138.1</v>
      </c>
      <c r="AR196">
        <f t="shared" si="113"/>
        <v>157.9</v>
      </c>
      <c r="AS196">
        <f t="shared" si="114"/>
        <v>146</v>
      </c>
      <c r="AT196">
        <f t="shared" si="115"/>
        <v>137.4</v>
      </c>
      <c r="AU196">
        <f t="shared" si="116"/>
        <v>144.69999999999999</v>
      </c>
      <c r="AV196">
        <f t="shared" si="117"/>
        <v>143.19999999999999</v>
      </c>
      <c r="AW196">
        <f t="shared" si="118"/>
        <v>136.9</v>
      </c>
      <c r="AX196">
        <f t="shared" si="119"/>
        <v>137.4</v>
      </c>
      <c r="AY196">
        <f t="shared" si="120"/>
        <v>136</v>
      </c>
      <c r="AZ196">
        <f t="shared" si="121"/>
        <v>122.9</v>
      </c>
      <c r="BA196">
        <f t="shared" si="122"/>
        <v>131.80000000000001</v>
      </c>
      <c r="BB196">
        <f t="shared" si="123"/>
        <v>142.1</v>
      </c>
      <c r="BC196">
        <f t="shared" si="124"/>
        <v>129.9</v>
      </c>
      <c r="BD196">
        <f t="shared" si="125"/>
        <v>132.1</v>
      </c>
      <c r="BE196">
        <f t="shared" si="126"/>
        <v>137.80000000000001</v>
      </c>
      <c r="BF196">
        <f t="shared" si="127"/>
        <v>1759.8</v>
      </c>
      <c r="BG196">
        <f t="shared" si="128"/>
        <v>428.09999999999997</v>
      </c>
      <c r="BH196">
        <f t="shared" si="129"/>
        <v>265.89999999999998</v>
      </c>
      <c r="BI196">
        <f t="shared" si="130"/>
        <v>422.7</v>
      </c>
      <c r="BJ196">
        <f t="shared" si="131"/>
        <v>421.80000000000007</v>
      </c>
      <c r="BK196">
        <f t="shared" si="132"/>
        <v>259.8</v>
      </c>
    </row>
    <row r="197" spans="1:63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f t="shared" si="100"/>
        <v>137.6</v>
      </c>
      <c r="AF197">
        <f t="shared" si="101"/>
        <v>148.1</v>
      </c>
      <c r="AG197">
        <f t="shared" si="102"/>
        <v>136.69999999999999</v>
      </c>
      <c r="AH197">
        <f t="shared" si="103"/>
        <v>143.19999999999999</v>
      </c>
      <c r="AI197">
        <f t="shared" si="104"/>
        <v>124</v>
      </c>
      <c r="AJ197">
        <f t="shared" si="105"/>
        <v>154.1</v>
      </c>
      <c r="AK197">
        <f t="shared" si="106"/>
        <v>143.5</v>
      </c>
      <c r="AL197">
        <f t="shared" si="107"/>
        <v>126</v>
      </c>
      <c r="AM197">
        <f t="shared" si="108"/>
        <v>112.4</v>
      </c>
      <c r="AN197">
        <f t="shared" si="109"/>
        <v>137.6</v>
      </c>
      <c r="AO197">
        <f t="shared" si="110"/>
        <v>132.80000000000001</v>
      </c>
      <c r="AP197">
        <f t="shared" si="111"/>
        <v>154.30000000000001</v>
      </c>
      <c r="AQ197">
        <f t="shared" si="112"/>
        <v>140</v>
      </c>
      <c r="AR197">
        <f t="shared" si="113"/>
        <v>157.30000000000001</v>
      </c>
      <c r="AS197">
        <f t="shared" si="114"/>
        <v>151.30000000000001</v>
      </c>
      <c r="AT197">
        <f t="shared" si="115"/>
        <v>144.69999999999999</v>
      </c>
      <c r="AU197">
        <f t="shared" si="116"/>
        <v>150.30000000000001</v>
      </c>
      <c r="AV197">
        <f t="shared" si="117"/>
        <v>142.5</v>
      </c>
      <c r="AW197">
        <f t="shared" si="118"/>
        <v>145.1</v>
      </c>
      <c r="AX197">
        <f t="shared" si="119"/>
        <v>142.19999999999999</v>
      </c>
      <c r="AY197">
        <f t="shared" si="120"/>
        <v>138.4</v>
      </c>
      <c r="AZ197">
        <f t="shared" si="121"/>
        <v>127.4</v>
      </c>
      <c r="BA197">
        <f t="shared" si="122"/>
        <v>137.80000000000001</v>
      </c>
      <c r="BB197">
        <f t="shared" si="123"/>
        <v>145.1</v>
      </c>
      <c r="BC197">
        <f t="shared" si="124"/>
        <v>131.4</v>
      </c>
      <c r="BD197">
        <f t="shared" si="125"/>
        <v>135.6</v>
      </c>
      <c r="BE197">
        <f t="shared" si="126"/>
        <v>140.5</v>
      </c>
      <c r="BF197">
        <f t="shared" si="127"/>
        <v>1790.2999999999997</v>
      </c>
      <c r="BG197">
        <f t="shared" si="128"/>
        <v>446.3</v>
      </c>
      <c r="BH197">
        <f t="shared" si="129"/>
        <v>269.8</v>
      </c>
      <c r="BI197">
        <f t="shared" si="130"/>
        <v>429.79999999999995</v>
      </c>
      <c r="BJ197">
        <f t="shared" si="131"/>
        <v>430.70000000000005</v>
      </c>
      <c r="BK197">
        <f t="shared" si="132"/>
        <v>272.5</v>
      </c>
    </row>
    <row r="198" spans="1:63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f t="shared" si="100"/>
        <v>135.30000000000001</v>
      </c>
      <c r="AF198">
        <f t="shared" si="101"/>
        <v>149.69999999999999</v>
      </c>
      <c r="AG198">
        <f t="shared" si="102"/>
        <v>133.9</v>
      </c>
      <c r="AH198">
        <f t="shared" si="103"/>
        <v>140.80000000000001</v>
      </c>
      <c r="AI198">
        <f t="shared" si="104"/>
        <v>116.6</v>
      </c>
      <c r="AJ198">
        <f t="shared" si="105"/>
        <v>152.19999999999999</v>
      </c>
      <c r="AK198">
        <f t="shared" si="106"/>
        <v>144</v>
      </c>
      <c r="AL198">
        <f t="shared" si="107"/>
        <v>112.3</v>
      </c>
      <c r="AM198">
        <f t="shared" si="108"/>
        <v>108.4</v>
      </c>
      <c r="AN198">
        <f t="shared" si="109"/>
        <v>140</v>
      </c>
      <c r="AO198">
        <f t="shared" si="110"/>
        <v>126.7</v>
      </c>
      <c r="AP198">
        <f t="shared" si="111"/>
        <v>149</v>
      </c>
      <c r="AQ198">
        <f t="shared" si="112"/>
        <v>138.4</v>
      </c>
      <c r="AR198">
        <f t="shared" si="113"/>
        <v>161</v>
      </c>
      <c r="AS198">
        <f t="shared" si="114"/>
        <v>138.9</v>
      </c>
      <c r="AT198">
        <f t="shared" si="115"/>
        <v>128.69999999999999</v>
      </c>
      <c r="AU198">
        <f t="shared" si="116"/>
        <v>137.4</v>
      </c>
      <c r="AV198">
        <f t="shared" si="117"/>
        <v>142.5</v>
      </c>
      <c r="AW198">
        <f t="shared" si="118"/>
        <v>126.5</v>
      </c>
      <c r="AX198">
        <f t="shared" si="119"/>
        <v>133.1</v>
      </c>
      <c r="AY198">
        <f t="shared" si="120"/>
        <v>132.6</v>
      </c>
      <c r="AZ198">
        <f t="shared" si="121"/>
        <v>120.4</v>
      </c>
      <c r="BA198">
        <f t="shared" si="122"/>
        <v>128.5</v>
      </c>
      <c r="BB198">
        <f t="shared" si="123"/>
        <v>141.19999999999999</v>
      </c>
      <c r="BC198">
        <f t="shared" si="124"/>
        <v>128.19999999999999</v>
      </c>
      <c r="BD198">
        <f t="shared" si="125"/>
        <v>129.5</v>
      </c>
      <c r="BE198">
        <f t="shared" si="126"/>
        <v>136.19999999999999</v>
      </c>
      <c r="BF198">
        <f t="shared" si="127"/>
        <v>1747.3000000000002</v>
      </c>
      <c r="BG198">
        <f t="shared" si="128"/>
        <v>405</v>
      </c>
      <c r="BH198">
        <f t="shared" si="129"/>
        <v>260.79999999999995</v>
      </c>
      <c r="BI198">
        <f t="shared" si="130"/>
        <v>416.79999999999995</v>
      </c>
      <c r="BJ198">
        <f t="shared" si="131"/>
        <v>419</v>
      </c>
      <c r="BK198">
        <f t="shared" si="132"/>
        <v>246.9</v>
      </c>
    </row>
    <row r="199" spans="1:63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f t="shared" si="100"/>
        <v>136.9</v>
      </c>
      <c r="AF199">
        <f t="shared" si="101"/>
        <v>148.69999999999999</v>
      </c>
      <c r="AG199">
        <f t="shared" si="102"/>
        <v>135.6</v>
      </c>
      <c r="AH199">
        <f t="shared" si="103"/>
        <v>142.30000000000001</v>
      </c>
      <c r="AI199">
        <f t="shared" si="104"/>
        <v>121.3</v>
      </c>
      <c r="AJ199">
        <f t="shared" si="105"/>
        <v>153.19999999999999</v>
      </c>
      <c r="AK199">
        <f t="shared" si="106"/>
        <v>143.69999999999999</v>
      </c>
      <c r="AL199">
        <f t="shared" si="107"/>
        <v>121.4</v>
      </c>
      <c r="AM199">
        <f t="shared" si="108"/>
        <v>111.1</v>
      </c>
      <c r="AN199">
        <f t="shared" si="109"/>
        <v>138.4</v>
      </c>
      <c r="AO199">
        <f t="shared" si="110"/>
        <v>130.30000000000001</v>
      </c>
      <c r="AP199">
        <f t="shared" si="111"/>
        <v>151.80000000000001</v>
      </c>
      <c r="AQ199">
        <f t="shared" si="112"/>
        <v>139.4</v>
      </c>
      <c r="AR199">
        <f t="shared" si="113"/>
        <v>158.30000000000001</v>
      </c>
      <c r="AS199">
        <f t="shared" si="114"/>
        <v>146.4</v>
      </c>
      <c r="AT199">
        <f t="shared" si="115"/>
        <v>138.1</v>
      </c>
      <c r="AU199">
        <f t="shared" si="116"/>
        <v>145.19999999999999</v>
      </c>
      <c r="AV199">
        <f t="shared" si="117"/>
        <v>142.5</v>
      </c>
      <c r="AW199">
        <f t="shared" si="118"/>
        <v>138.1</v>
      </c>
      <c r="AX199">
        <f t="shared" si="119"/>
        <v>137.9</v>
      </c>
      <c r="AY199">
        <f t="shared" si="120"/>
        <v>136.19999999999999</v>
      </c>
      <c r="AZ199">
        <f t="shared" si="121"/>
        <v>123.7</v>
      </c>
      <c r="BA199">
        <f t="shared" si="122"/>
        <v>132.6</v>
      </c>
      <c r="BB199">
        <f t="shared" si="123"/>
        <v>142.80000000000001</v>
      </c>
      <c r="BC199">
        <f t="shared" si="124"/>
        <v>130.1</v>
      </c>
      <c r="BD199">
        <f t="shared" si="125"/>
        <v>132.6</v>
      </c>
      <c r="BE199">
        <f t="shared" si="126"/>
        <v>138.5</v>
      </c>
      <c r="BF199">
        <f t="shared" si="127"/>
        <v>1774.1000000000001</v>
      </c>
      <c r="BG199">
        <f t="shared" si="128"/>
        <v>429.7</v>
      </c>
      <c r="BH199">
        <f t="shared" si="129"/>
        <v>266.29999999999995</v>
      </c>
      <c r="BI199">
        <f t="shared" si="130"/>
        <v>423.20000000000005</v>
      </c>
      <c r="BJ199">
        <f t="shared" si="131"/>
        <v>423.5</v>
      </c>
      <c r="BK199">
        <f t="shared" si="132"/>
        <v>261.8</v>
      </c>
    </row>
    <row r="200" spans="1:63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f t="shared" si="100"/>
        <v>138.4</v>
      </c>
      <c r="AF200">
        <f t="shared" si="101"/>
        <v>149.30000000000001</v>
      </c>
      <c r="AG200">
        <f t="shared" si="102"/>
        <v>139.30000000000001</v>
      </c>
      <c r="AH200">
        <f t="shared" si="103"/>
        <v>143.4</v>
      </c>
      <c r="AI200">
        <f t="shared" si="104"/>
        <v>124.1</v>
      </c>
      <c r="AJ200">
        <f t="shared" si="105"/>
        <v>153.30000000000001</v>
      </c>
      <c r="AK200">
        <f t="shared" si="106"/>
        <v>154.19999999999999</v>
      </c>
      <c r="AL200">
        <f t="shared" si="107"/>
        <v>126.4</v>
      </c>
      <c r="AM200">
        <f t="shared" si="108"/>
        <v>114.3</v>
      </c>
      <c r="AN200">
        <f t="shared" si="109"/>
        <v>138.19999999999999</v>
      </c>
      <c r="AO200">
        <f t="shared" si="110"/>
        <v>132.80000000000001</v>
      </c>
      <c r="AP200">
        <f t="shared" si="111"/>
        <v>154.80000000000001</v>
      </c>
      <c r="AQ200">
        <f t="shared" si="112"/>
        <v>142</v>
      </c>
      <c r="AR200">
        <f t="shared" si="113"/>
        <v>156.1</v>
      </c>
      <c r="AS200">
        <f t="shared" si="114"/>
        <v>151.5</v>
      </c>
      <c r="AT200">
        <f t="shared" si="115"/>
        <v>145.1</v>
      </c>
      <c r="AU200">
        <f t="shared" si="116"/>
        <v>150.6</v>
      </c>
      <c r="AV200">
        <f t="shared" si="117"/>
        <v>143.6</v>
      </c>
      <c r="AW200">
        <f t="shared" si="118"/>
        <v>146.80000000000001</v>
      </c>
      <c r="AX200">
        <f t="shared" si="119"/>
        <v>143.1</v>
      </c>
      <c r="AY200">
        <f t="shared" si="120"/>
        <v>139</v>
      </c>
      <c r="AZ200">
        <f t="shared" si="121"/>
        <v>127.5</v>
      </c>
      <c r="BA200">
        <f t="shared" si="122"/>
        <v>138.4</v>
      </c>
      <c r="BB200">
        <f t="shared" si="123"/>
        <v>145.80000000000001</v>
      </c>
      <c r="BC200">
        <f t="shared" si="124"/>
        <v>131.4</v>
      </c>
      <c r="BD200">
        <f t="shared" si="125"/>
        <v>136</v>
      </c>
      <c r="BE200">
        <f t="shared" si="126"/>
        <v>141.80000000000001</v>
      </c>
      <c r="BF200">
        <f t="shared" si="127"/>
        <v>1810.5000000000002</v>
      </c>
      <c r="BG200">
        <f t="shared" si="128"/>
        <v>447.20000000000005</v>
      </c>
      <c r="BH200">
        <f t="shared" si="129"/>
        <v>270.39999999999998</v>
      </c>
      <c r="BI200">
        <f t="shared" si="130"/>
        <v>432.5</v>
      </c>
      <c r="BJ200">
        <f t="shared" si="131"/>
        <v>430.5</v>
      </c>
      <c r="BK200">
        <f t="shared" si="132"/>
        <v>274.3</v>
      </c>
    </row>
    <row r="201" spans="1:63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f t="shared" si="100"/>
        <v>135.6</v>
      </c>
      <c r="AF201">
        <f t="shared" si="101"/>
        <v>148.6</v>
      </c>
      <c r="AG201">
        <f t="shared" si="102"/>
        <v>139.1</v>
      </c>
      <c r="AH201">
        <f t="shared" si="103"/>
        <v>141</v>
      </c>
      <c r="AI201">
        <f t="shared" si="104"/>
        <v>116.7</v>
      </c>
      <c r="AJ201">
        <f t="shared" si="105"/>
        <v>149.69999999999999</v>
      </c>
      <c r="AK201">
        <f t="shared" si="106"/>
        <v>159.19999999999999</v>
      </c>
      <c r="AL201">
        <f t="shared" si="107"/>
        <v>112.6</v>
      </c>
      <c r="AM201">
        <f t="shared" si="108"/>
        <v>111.8</v>
      </c>
      <c r="AN201">
        <f t="shared" si="109"/>
        <v>140.30000000000001</v>
      </c>
      <c r="AO201">
        <f t="shared" si="110"/>
        <v>126.8</v>
      </c>
      <c r="AP201">
        <f t="shared" si="111"/>
        <v>149.4</v>
      </c>
      <c r="AQ201">
        <f t="shared" si="112"/>
        <v>140.30000000000001</v>
      </c>
      <c r="AR201">
        <f t="shared" si="113"/>
        <v>161.4</v>
      </c>
      <c r="AS201">
        <f t="shared" si="114"/>
        <v>139.6</v>
      </c>
      <c r="AT201">
        <f t="shared" si="115"/>
        <v>128.9</v>
      </c>
      <c r="AU201">
        <f t="shared" si="116"/>
        <v>137.9</v>
      </c>
      <c r="AV201">
        <f t="shared" si="117"/>
        <v>143.6</v>
      </c>
      <c r="AW201">
        <f t="shared" si="118"/>
        <v>128.1</v>
      </c>
      <c r="AX201">
        <f t="shared" si="119"/>
        <v>133.6</v>
      </c>
      <c r="AY201">
        <f t="shared" si="120"/>
        <v>133.6</v>
      </c>
      <c r="AZ201">
        <f t="shared" si="121"/>
        <v>120.1</v>
      </c>
      <c r="BA201">
        <f t="shared" si="122"/>
        <v>129</v>
      </c>
      <c r="BB201">
        <f t="shared" si="123"/>
        <v>144</v>
      </c>
      <c r="BC201">
        <f t="shared" si="124"/>
        <v>128.19999999999999</v>
      </c>
      <c r="BD201">
        <f t="shared" si="125"/>
        <v>130.19999999999999</v>
      </c>
      <c r="BE201">
        <f t="shared" si="126"/>
        <v>137.5</v>
      </c>
      <c r="BF201">
        <f t="shared" si="127"/>
        <v>1771.1</v>
      </c>
      <c r="BG201">
        <f t="shared" si="128"/>
        <v>406.4</v>
      </c>
      <c r="BH201">
        <f t="shared" si="129"/>
        <v>261.79999999999995</v>
      </c>
      <c r="BI201">
        <f t="shared" si="130"/>
        <v>421.20000000000005</v>
      </c>
      <c r="BJ201">
        <f t="shared" si="131"/>
        <v>420.59999999999997</v>
      </c>
      <c r="BK201">
        <f t="shared" si="132"/>
        <v>248.2</v>
      </c>
    </row>
    <row r="202" spans="1:63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f t="shared" si="100"/>
        <v>137.5</v>
      </c>
      <c r="AF202">
        <f t="shared" si="101"/>
        <v>149.1</v>
      </c>
      <c r="AG202">
        <f t="shared" si="102"/>
        <v>139.19999999999999</v>
      </c>
      <c r="AH202">
        <f t="shared" si="103"/>
        <v>142.5</v>
      </c>
      <c r="AI202">
        <f t="shared" si="104"/>
        <v>121.4</v>
      </c>
      <c r="AJ202">
        <f t="shared" si="105"/>
        <v>151.6</v>
      </c>
      <c r="AK202">
        <f t="shared" si="106"/>
        <v>155.9</v>
      </c>
      <c r="AL202">
        <f t="shared" si="107"/>
        <v>121.7</v>
      </c>
      <c r="AM202">
        <f t="shared" si="108"/>
        <v>113.5</v>
      </c>
      <c r="AN202">
        <f t="shared" si="109"/>
        <v>138.9</v>
      </c>
      <c r="AO202">
        <f t="shared" si="110"/>
        <v>130.30000000000001</v>
      </c>
      <c r="AP202">
        <f t="shared" si="111"/>
        <v>152.30000000000001</v>
      </c>
      <c r="AQ202">
        <f t="shared" si="112"/>
        <v>141.4</v>
      </c>
      <c r="AR202">
        <f t="shared" si="113"/>
        <v>157.5</v>
      </c>
      <c r="AS202">
        <f t="shared" si="114"/>
        <v>146.80000000000001</v>
      </c>
      <c r="AT202">
        <f t="shared" si="115"/>
        <v>138.4</v>
      </c>
      <c r="AU202">
        <f t="shared" si="116"/>
        <v>145.6</v>
      </c>
      <c r="AV202">
        <f t="shared" si="117"/>
        <v>143.6</v>
      </c>
      <c r="AW202">
        <f t="shared" si="118"/>
        <v>139.69999999999999</v>
      </c>
      <c r="AX202">
        <f t="shared" si="119"/>
        <v>138.6</v>
      </c>
      <c r="AY202">
        <f t="shared" si="120"/>
        <v>137</v>
      </c>
      <c r="AZ202">
        <f t="shared" si="121"/>
        <v>123.6</v>
      </c>
      <c r="BA202">
        <f t="shared" si="122"/>
        <v>133.1</v>
      </c>
      <c r="BB202">
        <f t="shared" si="123"/>
        <v>144.69999999999999</v>
      </c>
      <c r="BC202">
        <f t="shared" si="124"/>
        <v>130.1</v>
      </c>
      <c r="BD202">
        <f t="shared" si="125"/>
        <v>133.19999999999999</v>
      </c>
      <c r="BE202">
        <f t="shared" si="126"/>
        <v>139.80000000000001</v>
      </c>
      <c r="BF202">
        <f t="shared" si="127"/>
        <v>1795.3</v>
      </c>
      <c r="BG202">
        <f t="shared" si="128"/>
        <v>430.80000000000007</v>
      </c>
      <c r="BH202">
        <f t="shared" si="129"/>
        <v>267.10000000000002</v>
      </c>
      <c r="BI202">
        <f t="shared" si="130"/>
        <v>426.9</v>
      </c>
      <c r="BJ202">
        <f t="shared" si="131"/>
        <v>423.8</v>
      </c>
      <c r="BK202">
        <f t="shared" si="132"/>
        <v>263.29999999999995</v>
      </c>
    </row>
    <row r="203" spans="1:63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f t="shared" si="100"/>
        <v>139.19999999999999</v>
      </c>
      <c r="AF203">
        <f t="shared" si="101"/>
        <v>148.80000000000001</v>
      </c>
      <c r="AG203">
        <f t="shared" si="102"/>
        <v>139.1</v>
      </c>
      <c r="AH203">
        <f t="shared" si="103"/>
        <v>143.5</v>
      </c>
      <c r="AI203">
        <f t="shared" si="104"/>
        <v>125</v>
      </c>
      <c r="AJ203">
        <f t="shared" si="105"/>
        <v>154.4</v>
      </c>
      <c r="AK203">
        <f t="shared" si="106"/>
        <v>156.30000000000001</v>
      </c>
      <c r="AL203">
        <f t="shared" si="107"/>
        <v>126.8</v>
      </c>
      <c r="AM203">
        <f t="shared" si="108"/>
        <v>115.4</v>
      </c>
      <c r="AN203">
        <f t="shared" si="109"/>
        <v>138.6</v>
      </c>
      <c r="AO203">
        <f t="shared" si="110"/>
        <v>133.80000000000001</v>
      </c>
      <c r="AP203">
        <f t="shared" si="111"/>
        <v>155.19999999999999</v>
      </c>
      <c r="AQ203">
        <f t="shared" si="112"/>
        <v>142.69999999999999</v>
      </c>
      <c r="AR203">
        <f t="shared" si="113"/>
        <v>156.4</v>
      </c>
      <c r="AS203">
        <f t="shared" si="114"/>
        <v>152.1</v>
      </c>
      <c r="AT203">
        <f t="shared" si="115"/>
        <v>145.80000000000001</v>
      </c>
      <c r="AU203">
        <f t="shared" si="116"/>
        <v>151.30000000000001</v>
      </c>
      <c r="AV203">
        <f t="shared" si="117"/>
        <v>144.6</v>
      </c>
      <c r="AW203">
        <f t="shared" si="118"/>
        <v>147.69999999999999</v>
      </c>
      <c r="AX203">
        <f t="shared" si="119"/>
        <v>143.80000000000001</v>
      </c>
      <c r="AY203">
        <f t="shared" si="120"/>
        <v>139.4</v>
      </c>
      <c r="AZ203">
        <f t="shared" si="121"/>
        <v>128.30000000000001</v>
      </c>
      <c r="BA203">
        <f t="shared" si="122"/>
        <v>138.6</v>
      </c>
      <c r="BB203">
        <f t="shared" si="123"/>
        <v>146.9</v>
      </c>
      <c r="BC203">
        <f t="shared" si="124"/>
        <v>131.30000000000001</v>
      </c>
      <c r="BD203">
        <f t="shared" si="125"/>
        <v>136.6</v>
      </c>
      <c r="BE203">
        <f t="shared" si="126"/>
        <v>142.5</v>
      </c>
      <c r="BF203">
        <f t="shared" si="127"/>
        <v>1818.8</v>
      </c>
      <c r="BG203">
        <f t="shared" si="128"/>
        <v>449.2</v>
      </c>
      <c r="BH203">
        <f t="shared" si="129"/>
        <v>270.70000000000005</v>
      </c>
      <c r="BI203">
        <f t="shared" si="130"/>
        <v>435.30000000000007</v>
      </c>
      <c r="BJ203">
        <f t="shared" si="131"/>
        <v>431.6</v>
      </c>
      <c r="BK203">
        <f t="shared" si="132"/>
        <v>276</v>
      </c>
    </row>
    <row r="204" spans="1:63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f t="shared" si="100"/>
        <v>136.5</v>
      </c>
      <c r="AF204">
        <f t="shared" si="101"/>
        <v>146.4</v>
      </c>
      <c r="AG204">
        <f t="shared" si="102"/>
        <v>136.6</v>
      </c>
      <c r="AH204">
        <f t="shared" si="103"/>
        <v>141.19999999999999</v>
      </c>
      <c r="AI204">
        <f t="shared" si="104"/>
        <v>117.4</v>
      </c>
      <c r="AJ204">
        <f t="shared" si="105"/>
        <v>146.30000000000001</v>
      </c>
      <c r="AK204">
        <f t="shared" si="106"/>
        <v>157.30000000000001</v>
      </c>
      <c r="AL204">
        <f t="shared" si="107"/>
        <v>113.6</v>
      </c>
      <c r="AM204">
        <f t="shared" si="108"/>
        <v>113.3</v>
      </c>
      <c r="AN204">
        <f t="shared" si="109"/>
        <v>141.1</v>
      </c>
      <c r="AO204">
        <f t="shared" si="110"/>
        <v>127.4</v>
      </c>
      <c r="AP204">
        <f t="shared" si="111"/>
        <v>150.4</v>
      </c>
      <c r="AQ204">
        <f t="shared" si="112"/>
        <v>140.1</v>
      </c>
      <c r="AR204">
        <f t="shared" si="113"/>
        <v>162.1</v>
      </c>
      <c r="AS204">
        <f t="shared" si="114"/>
        <v>140</v>
      </c>
      <c r="AT204">
        <f t="shared" si="115"/>
        <v>129</v>
      </c>
      <c r="AU204">
        <f t="shared" si="116"/>
        <v>138.30000000000001</v>
      </c>
      <c r="AV204">
        <f t="shared" si="117"/>
        <v>144.6</v>
      </c>
      <c r="AW204">
        <f t="shared" si="118"/>
        <v>129.80000000000001</v>
      </c>
      <c r="AX204">
        <f t="shared" si="119"/>
        <v>134.4</v>
      </c>
      <c r="AY204">
        <f t="shared" si="120"/>
        <v>134.9</v>
      </c>
      <c r="AZ204">
        <f t="shared" si="121"/>
        <v>120.7</v>
      </c>
      <c r="BA204">
        <f t="shared" si="122"/>
        <v>129.80000000000001</v>
      </c>
      <c r="BB204">
        <f t="shared" si="123"/>
        <v>145.30000000000001</v>
      </c>
      <c r="BC204">
        <f t="shared" si="124"/>
        <v>128.30000000000001</v>
      </c>
      <c r="BD204">
        <f t="shared" si="125"/>
        <v>131</v>
      </c>
      <c r="BE204">
        <f t="shared" si="126"/>
        <v>138</v>
      </c>
      <c r="BF204">
        <f t="shared" si="127"/>
        <v>1767.6</v>
      </c>
      <c r="BG204">
        <f t="shared" si="128"/>
        <v>407.3</v>
      </c>
      <c r="BH204">
        <f t="shared" si="129"/>
        <v>263.20000000000005</v>
      </c>
      <c r="BI204">
        <f t="shared" si="130"/>
        <v>424.30000000000007</v>
      </c>
      <c r="BJ204">
        <f t="shared" si="131"/>
        <v>422.9</v>
      </c>
      <c r="BK204">
        <f t="shared" si="132"/>
        <v>250.5</v>
      </c>
    </row>
    <row r="205" spans="1:63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f t="shared" si="100"/>
        <v>138.30000000000001</v>
      </c>
      <c r="AF205">
        <f t="shared" si="101"/>
        <v>148</v>
      </c>
      <c r="AG205">
        <f t="shared" si="102"/>
        <v>138.1</v>
      </c>
      <c r="AH205">
        <f t="shared" si="103"/>
        <v>142.6</v>
      </c>
      <c r="AI205">
        <f t="shared" si="104"/>
        <v>122.2</v>
      </c>
      <c r="AJ205">
        <f t="shared" si="105"/>
        <v>150.6</v>
      </c>
      <c r="AK205">
        <f t="shared" si="106"/>
        <v>156.6</v>
      </c>
      <c r="AL205">
        <f t="shared" si="107"/>
        <v>122.4</v>
      </c>
      <c r="AM205">
        <f t="shared" si="108"/>
        <v>114.7</v>
      </c>
      <c r="AN205">
        <f t="shared" si="109"/>
        <v>139.4</v>
      </c>
      <c r="AO205">
        <f t="shared" si="110"/>
        <v>131.1</v>
      </c>
      <c r="AP205">
        <f t="shared" si="111"/>
        <v>153</v>
      </c>
      <c r="AQ205">
        <f t="shared" si="112"/>
        <v>141.69999999999999</v>
      </c>
      <c r="AR205">
        <f t="shared" si="113"/>
        <v>157.9</v>
      </c>
      <c r="AS205">
        <f t="shared" si="114"/>
        <v>147.30000000000001</v>
      </c>
      <c r="AT205">
        <f t="shared" si="115"/>
        <v>138.80000000000001</v>
      </c>
      <c r="AU205">
        <f t="shared" si="116"/>
        <v>146.1</v>
      </c>
      <c r="AV205">
        <f t="shared" si="117"/>
        <v>144.6</v>
      </c>
      <c r="AW205">
        <f t="shared" si="118"/>
        <v>140.9</v>
      </c>
      <c r="AX205">
        <f t="shared" si="119"/>
        <v>139.4</v>
      </c>
      <c r="AY205">
        <f t="shared" si="120"/>
        <v>137.69999999999999</v>
      </c>
      <c r="AZ205">
        <f t="shared" si="121"/>
        <v>124.3</v>
      </c>
      <c r="BA205">
        <f t="shared" si="122"/>
        <v>133.6</v>
      </c>
      <c r="BB205">
        <f t="shared" si="123"/>
        <v>146</v>
      </c>
      <c r="BC205">
        <f t="shared" si="124"/>
        <v>130.1</v>
      </c>
      <c r="BD205">
        <f t="shared" si="125"/>
        <v>133.9</v>
      </c>
      <c r="BE205">
        <f t="shared" si="126"/>
        <v>140.4</v>
      </c>
      <c r="BF205">
        <f t="shared" si="127"/>
        <v>1798.7000000000003</v>
      </c>
      <c r="BG205">
        <f t="shared" si="128"/>
        <v>432.20000000000005</v>
      </c>
      <c r="BH205">
        <f t="shared" si="129"/>
        <v>267.79999999999995</v>
      </c>
      <c r="BI205">
        <f t="shared" si="130"/>
        <v>430</v>
      </c>
      <c r="BJ205">
        <f t="shared" si="131"/>
        <v>425.4</v>
      </c>
      <c r="BK205">
        <f t="shared" si="132"/>
        <v>265.2</v>
      </c>
    </row>
    <row r="206" spans="1:63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f t="shared" si="100"/>
        <v>139.4</v>
      </c>
      <c r="AF206">
        <f t="shared" si="101"/>
        <v>147.19999999999999</v>
      </c>
      <c r="AG206">
        <f t="shared" si="102"/>
        <v>136.6</v>
      </c>
      <c r="AH206">
        <f t="shared" si="103"/>
        <v>143.69999999999999</v>
      </c>
      <c r="AI206">
        <f t="shared" si="104"/>
        <v>124.6</v>
      </c>
      <c r="AJ206">
        <f t="shared" si="105"/>
        <v>150.1</v>
      </c>
      <c r="AK206">
        <f t="shared" si="106"/>
        <v>149.4</v>
      </c>
      <c r="AL206">
        <f t="shared" si="107"/>
        <v>125.4</v>
      </c>
      <c r="AM206">
        <f t="shared" si="108"/>
        <v>114.4</v>
      </c>
      <c r="AN206">
        <f t="shared" si="109"/>
        <v>138.69999999999999</v>
      </c>
      <c r="AO206">
        <f t="shared" si="110"/>
        <v>133.1</v>
      </c>
      <c r="AP206">
        <f t="shared" si="111"/>
        <v>155.9</v>
      </c>
      <c r="AQ206">
        <f t="shared" si="112"/>
        <v>141.30000000000001</v>
      </c>
      <c r="AR206">
        <f t="shared" si="113"/>
        <v>157.69999999999999</v>
      </c>
      <c r="AS206">
        <f t="shared" si="114"/>
        <v>152.1</v>
      </c>
      <c r="AT206">
        <f t="shared" si="115"/>
        <v>146.1</v>
      </c>
      <c r="AU206">
        <f t="shared" si="116"/>
        <v>151.30000000000001</v>
      </c>
      <c r="AV206">
        <f t="shared" si="117"/>
        <v>145.30000000000001</v>
      </c>
      <c r="AW206">
        <f t="shared" si="118"/>
        <v>149</v>
      </c>
      <c r="AX206">
        <f t="shared" si="119"/>
        <v>144</v>
      </c>
      <c r="AY206">
        <f t="shared" si="120"/>
        <v>140</v>
      </c>
      <c r="AZ206">
        <f t="shared" si="121"/>
        <v>129.9</v>
      </c>
      <c r="BA206">
        <f t="shared" si="122"/>
        <v>140</v>
      </c>
      <c r="BB206">
        <f t="shared" si="123"/>
        <v>147.6</v>
      </c>
      <c r="BC206">
        <f t="shared" si="124"/>
        <v>132</v>
      </c>
      <c r="BD206">
        <f t="shared" si="125"/>
        <v>137.4</v>
      </c>
      <c r="BE206">
        <f t="shared" si="126"/>
        <v>142.1</v>
      </c>
      <c r="BF206">
        <f t="shared" si="127"/>
        <v>1799.8000000000002</v>
      </c>
      <c r="BG206">
        <f t="shared" si="128"/>
        <v>449.5</v>
      </c>
      <c r="BH206">
        <f t="shared" si="129"/>
        <v>272</v>
      </c>
      <c r="BI206">
        <f t="shared" si="130"/>
        <v>436.90000000000003</v>
      </c>
      <c r="BJ206">
        <f t="shared" si="131"/>
        <v>435.1</v>
      </c>
      <c r="BK206">
        <f t="shared" si="132"/>
        <v>278.89999999999998</v>
      </c>
    </row>
    <row r="207" spans="1:63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f t="shared" si="100"/>
        <v>137</v>
      </c>
      <c r="AF207">
        <f t="shared" si="101"/>
        <v>143.1</v>
      </c>
      <c r="AG207">
        <f t="shared" si="102"/>
        <v>132.80000000000001</v>
      </c>
      <c r="AH207">
        <f t="shared" si="103"/>
        <v>141.5</v>
      </c>
      <c r="AI207">
        <f t="shared" si="104"/>
        <v>117.8</v>
      </c>
      <c r="AJ207">
        <f t="shared" si="105"/>
        <v>140</v>
      </c>
      <c r="AK207">
        <f t="shared" si="106"/>
        <v>151.30000000000001</v>
      </c>
      <c r="AL207">
        <f t="shared" si="107"/>
        <v>113.5</v>
      </c>
      <c r="AM207">
        <f t="shared" si="108"/>
        <v>112.3</v>
      </c>
      <c r="AN207">
        <f t="shared" si="109"/>
        <v>141.19999999999999</v>
      </c>
      <c r="AO207">
        <f t="shared" si="110"/>
        <v>127.7</v>
      </c>
      <c r="AP207">
        <f t="shared" si="111"/>
        <v>151.30000000000001</v>
      </c>
      <c r="AQ207">
        <f t="shared" si="112"/>
        <v>138.9</v>
      </c>
      <c r="AR207">
        <f t="shared" si="113"/>
        <v>163.30000000000001</v>
      </c>
      <c r="AS207">
        <f t="shared" si="114"/>
        <v>140.80000000000001</v>
      </c>
      <c r="AT207">
        <f t="shared" si="115"/>
        <v>129.30000000000001</v>
      </c>
      <c r="AU207">
        <f t="shared" si="116"/>
        <v>139.1</v>
      </c>
      <c r="AV207">
        <f t="shared" si="117"/>
        <v>145.30000000000001</v>
      </c>
      <c r="AW207">
        <f t="shared" si="118"/>
        <v>131.19999999999999</v>
      </c>
      <c r="AX207">
        <f t="shared" si="119"/>
        <v>134.9</v>
      </c>
      <c r="AY207">
        <f t="shared" si="120"/>
        <v>135.69999999999999</v>
      </c>
      <c r="AZ207">
        <f t="shared" si="121"/>
        <v>122.5</v>
      </c>
      <c r="BA207">
        <f t="shared" si="122"/>
        <v>130.19999999999999</v>
      </c>
      <c r="BB207">
        <f t="shared" si="123"/>
        <v>145.19999999999999</v>
      </c>
      <c r="BC207">
        <f t="shared" si="124"/>
        <v>129.30000000000001</v>
      </c>
      <c r="BD207">
        <f t="shared" si="125"/>
        <v>131.9</v>
      </c>
      <c r="BE207">
        <f t="shared" si="126"/>
        <v>138.1</v>
      </c>
      <c r="BF207">
        <f t="shared" si="127"/>
        <v>1748.4</v>
      </c>
      <c r="BG207">
        <f t="shared" si="128"/>
        <v>409.20000000000005</v>
      </c>
      <c r="BH207">
        <f t="shared" si="129"/>
        <v>265</v>
      </c>
      <c r="BI207">
        <f t="shared" si="130"/>
        <v>425.40000000000003</v>
      </c>
      <c r="BJ207">
        <f t="shared" si="131"/>
        <v>425.4</v>
      </c>
      <c r="BK207">
        <f t="shared" si="132"/>
        <v>253.7</v>
      </c>
    </row>
    <row r="208" spans="1:63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f t="shared" si="100"/>
        <v>138.6</v>
      </c>
      <c r="AF208">
        <f t="shared" si="101"/>
        <v>145.80000000000001</v>
      </c>
      <c r="AG208">
        <f t="shared" si="102"/>
        <v>135.1</v>
      </c>
      <c r="AH208">
        <f t="shared" si="103"/>
        <v>142.9</v>
      </c>
      <c r="AI208">
        <f t="shared" si="104"/>
        <v>122.1</v>
      </c>
      <c r="AJ208">
        <f t="shared" si="105"/>
        <v>145.4</v>
      </c>
      <c r="AK208">
        <f t="shared" si="106"/>
        <v>150</v>
      </c>
      <c r="AL208">
        <f t="shared" si="107"/>
        <v>121.4</v>
      </c>
      <c r="AM208">
        <f t="shared" si="108"/>
        <v>113.7</v>
      </c>
      <c r="AN208">
        <f t="shared" si="109"/>
        <v>139.5</v>
      </c>
      <c r="AO208">
        <f t="shared" si="110"/>
        <v>130.80000000000001</v>
      </c>
      <c r="AP208">
        <f t="shared" si="111"/>
        <v>153.80000000000001</v>
      </c>
      <c r="AQ208">
        <f t="shared" si="112"/>
        <v>140.4</v>
      </c>
      <c r="AR208">
        <f t="shared" si="113"/>
        <v>159.19999999999999</v>
      </c>
      <c r="AS208">
        <f t="shared" si="114"/>
        <v>147.69999999999999</v>
      </c>
      <c r="AT208">
        <f t="shared" si="115"/>
        <v>139.1</v>
      </c>
      <c r="AU208">
        <f t="shared" si="116"/>
        <v>146.5</v>
      </c>
      <c r="AV208">
        <f t="shared" si="117"/>
        <v>145.30000000000001</v>
      </c>
      <c r="AW208">
        <f t="shared" si="118"/>
        <v>142.30000000000001</v>
      </c>
      <c r="AX208">
        <f t="shared" si="119"/>
        <v>139.69999999999999</v>
      </c>
      <c r="AY208">
        <f t="shared" si="120"/>
        <v>138.4</v>
      </c>
      <c r="AZ208">
        <f t="shared" si="121"/>
        <v>126</v>
      </c>
      <c r="BA208">
        <f t="shared" si="122"/>
        <v>134.5</v>
      </c>
      <c r="BB208">
        <f t="shared" si="123"/>
        <v>146.19999999999999</v>
      </c>
      <c r="BC208">
        <f t="shared" si="124"/>
        <v>130.9</v>
      </c>
      <c r="BD208">
        <f t="shared" si="125"/>
        <v>134.69999999999999</v>
      </c>
      <c r="BE208">
        <f t="shared" si="126"/>
        <v>140.19999999999999</v>
      </c>
      <c r="BF208">
        <f t="shared" si="127"/>
        <v>1779.5</v>
      </c>
      <c r="BG208">
        <f t="shared" si="128"/>
        <v>433.29999999999995</v>
      </c>
      <c r="BH208">
        <f t="shared" si="129"/>
        <v>269.3</v>
      </c>
      <c r="BI208">
        <f t="shared" si="130"/>
        <v>431.2</v>
      </c>
      <c r="BJ208">
        <f t="shared" si="131"/>
        <v>428.4</v>
      </c>
      <c r="BK208">
        <f t="shared" si="132"/>
        <v>268.3</v>
      </c>
    </row>
    <row r="209" spans="1:63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f t="shared" si="100"/>
        <v>139.30000000000001</v>
      </c>
      <c r="AF209">
        <f t="shared" si="101"/>
        <v>147.6</v>
      </c>
      <c r="AG209">
        <f t="shared" si="102"/>
        <v>134.6</v>
      </c>
      <c r="AH209">
        <f t="shared" si="103"/>
        <v>141.9</v>
      </c>
      <c r="AI209">
        <f t="shared" si="104"/>
        <v>123.5</v>
      </c>
      <c r="AJ209">
        <f t="shared" si="105"/>
        <v>144.5</v>
      </c>
      <c r="AK209">
        <f t="shared" si="106"/>
        <v>147.6</v>
      </c>
      <c r="AL209">
        <f t="shared" si="107"/>
        <v>121.4</v>
      </c>
      <c r="AM209">
        <f t="shared" si="108"/>
        <v>112.3</v>
      </c>
      <c r="AN209">
        <f t="shared" si="109"/>
        <v>139.5</v>
      </c>
      <c r="AO209">
        <f t="shared" si="110"/>
        <v>134.6</v>
      </c>
      <c r="AP209">
        <f t="shared" si="111"/>
        <v>155.19999999999999</v>
      </c>
      <c r="AQ209">
        <f t="shared" si="112"/>
        <v>140.19999999999999</v>
      </c>
      <c r="AR209">
        <f t="shared" si="113"/>
        <v>159.6</v>
      </c>
      <c r="AS209">
        <f t="shared" si="114"/>
        <v>150.69999999999999</v>
      </c>
      <c r="AT209">
        <f t="shared" si="115"/>
        <v>144.5</v>
      </c>
      <c r="AU209">
        <f t="shared" si="116"/>
        <v>149.80000000000001</v>
      </c>
      <c r="AV209">
        <f t="shared" si="117"/>
        <v>146.60000000000002</v>
      </c>
      <c r="AW209">
        <f t="shared" si="118"/>
        <v>149.69999999999999</v>
      </c>
      <c r="AX209">
        <f t="shared" si="119"/>
        <v>147.5</v>
      </c>
      <c r="AY209">
        <f t="shared" si="120"/>
        <v>144.80000000000001</v>
      </c>
      <c r="AZ209">
        <f t="shared" si="121"/>
        <v>130.80000000000001</v>
      </c>
      <c r="BA209">
        <f t="shared" si="122"/>
        <v>140.1</v>
      </c>
      <c r="BB209">
        <f t="shared" si="123"/>
        <v>148</v>
      </c>
      <c r="BC209">
        <f t="shared" si="124"/>
        <v>134.4</v>
      </c>
      <c r="BD209">
        <f t="shared" si="125"/>
        <v>139.80000000000001</v>
      </c>
      <c r="BE209">
        <f t="shared" si="126"/>
        <v>142.19999999999999</v>
      </c>
      <c r="BF209">
        <f t="shared" si="127"/>
        <v>1782.2</v>
      </c>
      <c r="BG209">
        <f t="shared" si="128"/>
        <v>445</v>
      </c>
      <c r="BH209">
        <f t="shared" si="129"/>
        <v>279.20000000000005</v>
      </c>
      <c r="BI209">
        <f t="shared" si="130"/>
        <v>442.1</v>
      </c>
      <c r="BJ209">
        <f t="shared" si="131"/>
        <v>439.5</v>
      </c>
      <c r="BK209">
        <f t="shared" si="132"/>
        <v>280.5</v>
      </c>
    </row>
    <row r="210" spans="1:63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f t="shared" si="100"/>
        <v>137.6</v>
      </c>
      <c r="AF210">
        <f t="shared" si="101"/>
        <v>144.9</v>
      </c>
      <c r="AG210">
        <f t="shared" si="102"/>
        <v>133.5</v>
      </c>
      <c r="AH210">
        <f t="shared" si="103"/>
        <v>141.5</v>
      </c>
      <c r="AI210">
        <f t="shared" si="104"/>
        <v>118</v>
      </c>
      <c r="AJ210">
        <f t="shared" si="105"/>
        <v>139.5</v>
      </c>
      <c r="AK210">
        <f t="shared" si="106"/>
        <v>153</v>
      </c>
      <c r="AL210">
        <f t="shared" si="107"/>
        <v>113.2</v>
      </c>
      <c r="AM210">
        <f t="shared" si="108"/>
        <v>112.8</v>
      </c>
      <c r="AN210">
        <f t="shared" si="109"/>
        <v>141.1</v>
      </c>
      <c r="AO210">
        <f t="shared" si="110"/>
        <v>127.6</v>
      </c>
      <c r="AP210">
        <f t="shared" si="111"/>
        <v>152</v>
      </c>
      <c r="AQ210">
        <f t="shared" si="112"/>
        <v>139.4</v>
      </c>
      <c r="AR210">
        <f t="shared" si="113"/>
        <v>164</v>
      </c>
      <c r="AS210">
        <f t="shared" si="114"/>
        <v>141.5</v>
      </c>
      <c r="AT210">
        <f t="shared" si="115"/>
        <v>129.80000000000001</v>
      </c>
      <c r="AU210">
        <f t="shared" si="116"/>
        <v>139.69999999999999</v>
      </c>
      <c r="AV210">
        <f t="shared" si="117"/>
        <v>146.30000000000001</v>
      </c>
      <c r="AW210">
        <f t="shared" si="118"/>
        <v>133.4</v>
      </c>
      <c r="AX210">
        <f t="shared" si="119"/>
        <v>135.1</v>
      </c>
      <c r="AY210">
        <f t="shared" si="120"/>
        <v>136.19999999999999</v>
      </c>
      <c r="AZ210">
        <f t="shared" si="121"/>
        <v>123.3</v>
      </c>
      <c r="BA210">
        <f t="shared" si="122"/>
        <v>130.69999999999999</v>
      </c>
      <c r="BB210">
        <f t="shared" si="123"/>
        <v>145.5</v>
      </c>
      <c r="BC210">
        <f t="shared" si="124"/>
        <v>130.4</v>
      </c>
      <c r="BD210">
        <f t="shared" si="125"/>
        <v>132.5</v>
      </c>
      <c r="BE210">
        <f t="shared" si="126"/>
        <v>138.9</v>
      </c>
      <c r="BF210">
        <f t="shared" si="127"/>
        <v>1754.1</v>
      </c>
      <c r="BG210">
        <f t="shared" si="128"/>
        <v>411</v>
      </c>
      <c r="BH210">
        <f t="shared" si="129"/>
        <v>266.60000000000002</v>
      </c>
      <c r="BI210">
        <f t="shared" si="130"/>
        <v>426.90000000000003</v>
      </c>
      <c r="BJ210">
        <f t="shared" si="131"/>
        <v>427.2</v>
      </c>
      <c r="BK210">
        <f t="shared" si="132"/>
        <v>256.7</v>
      </c>
    </row>
    <row r="211" spans="1:63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f t="shared" si="100"/>
        <v>137.4</v>
      </c>
      <c r="AF211">
        <f t="shared" si="101"/>
        <v>149.5</v>
      </c>
      <c r="AG211">
        <f t="shared" si="102"/>
        <v>137.30000000000001</v>
      </c>
      <c r="AH211">
        <f t="shared" si="103"/>
        <v>141.9</v>
      </c>
      <c r="AI211">
        <f t="shared" si="104"/>
        <v>121.1</v>
      </c>
      <c r="AJ211">
        <f t="shared" si="105"/>
        <v>142.5</v>
      </c>
      <c r="AK211">
        <f t="shared" si="106"/>
        <v>146.69999999999999</v>
      </c>
      <c r="AL211">
        <f t="shared" si="107"/>
        <v>119.1</v>
      </c>
      <c r="AM211">
        <f t="shared" si="108"/>
        <v>111.9</v>
      </c>
      <c r="AN211">
        <f t="shared" si="109"/>
        <v>141</v>
      </c>
      <c r="AO211">
        <f t="shared" si="110"/>
        <v>133.6</v>
      </c>
      <c r="AP211">
        <f t="shared" si="111"/>
        <v>154.5</v>
      </c>
      <c r="AQ211">
        <f t="shared" si="112"/>
        <v>139.69999999999999</v>
      </c>
      <c r="AR211">
        <f t="shared" si="113"/>
        <v>162.6</v>
      </c>
      <c r="AS211">
        <f t="shared" si="114"/>
        <v>148</v>
      </c>
      <c r="AT211">
        <f t="shared" si="115"/>
        <v>139.19999999999999</v>
      </c>
      <c r="AU211">
        <f t="shared" si="116"/>
        <v>146.80000000000001</v>
      </c>
      <c r="AV211">
        <f t="shared" si="117"/>
        <v>146.9</v>
      </c>
      <c r="AW211">
        <f t="shared" si="118"/>
        <v>145.30000000000001</v>
      </c>
      <c r="AX211">
        <f t="shared" si="119"/>
        <v>142.19999999999999</v>
      </c>
      <c r="AY211">
        <f t="shared" si="120"/>
        <v>142.1</v>
      </c>
      <c r="AZ211">
        <f t="shared" si="121"/>
        <v>125.5</v>
      </c>
      <c r="BA211">
        <f t="shared" si="122"/>
        <v>136.5</v>
      </c>
      <c r="BB211">
        <f t="shared" si="123"/>
        <v>147.80000000000001</v>
      </c>
      <c r="BC211">
        <f t="shared" si="124"/>
        <v>132</v>
      </c>
      <c r="BD211">
        <f t="shared" si="125"/>
        <v>136.30000000000001</v>
      </c>
      <c r="BE211">
        <f t="shared" si="126"/>
        <v>140.80000000000001</v>
      </c>
      <c r="BF211">
        <f t="shared" si="127"/>
        <v>1776.2</v>
      </c>
      <c r="BG211">
        <f t="shared" si="128"/>
        <v>434</v>
      </c>
      <c r="BH211">
        <f t="shared" si="129"/>
        <v>274.10000000000002</v>
      </c>
      <c r="BI211">
        <f t="shared" si="130"/>
        <v>436.9</v>
      </c>
      <c r="BJ211">
        <f t="shared" si="131"/>
        <v>435.40000000000003</v>
      </c>
      <c r="BK211">
        <f t="shared" si="132"/>
        <v>270.8</v>
      </c>
    </row>
    <row r="212" spans="1:63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f t="shared" si="100"/>
        <v>137.1</v>
      </c>
      <c r="AF212">
        <f t="shared" si="101"/>
        <v>150.80000000000001</v>
      </c>
      <c r="AG212">
        <f t="shared" si="102"/>
        <v>136.69999999999999</v>
      </c>
      <c r="AH212">
        <f t="shared" si="103"/>
        <v>141.9</v>
      </c>
      <c r="AI212">
        <f t="shared" si="104"/>
        <v>122.8</v>
      </c>
      <c r="AJ212">
        <f t="shared" si="105"/>
        <v>143.9</v>
      </c>
      <c r="AK212">
        <f t="shared" si="106"/>
        <v>147.5</v>
      </c>
      <c r="AL212">
        <f t="shared" si="107"/>
        <v>121</v>
      </c>
      <c r="AM212">
        <f t="shared" si="108"/>
        <v>111.6</v>
      </c>
      <c r="AN212">
        <f t="shared" si="109"/>
        <v>140.6</v>
      </c>
      <c r="AO212">
        <f t="shared" si="110"/>
        <v>137.5</v>
      </c>
      <c r="AP212">
        <f t="shared" si="111"/>
        <v>156.1</v>
      </c>
      <c r="AQ212">
        <f t="shared" si="112"/>
        <v>140</v>
      </c>
      <c r="AR212">
        <f t="shared" si="113"/>
        <v>161.9</v>
      </c>
      <c r="AS212">
        <f t="shared" si="114"/>
        <v>151.69999999999999</v>
      </c>
      <c r="AT212">
        <f t="shared" si="115"/>
        <v>145.5</v>
      </c>
      <c r="AU212">
        <f t="shared" si="116"/>
        <v>150.80000000000001</v>
      </c>
      <c r="AV212">
        <f t="shared" si="117"/>
        <v>146.9</v>
      </c>
      <c r="AW212">
        <f t="shared" si="118"/>
        <v>150.30000000000001</v>
      </c>
      <c r="AX212">
        <f t="shared" si="119"/>
        <v>148</v>
      </c>
      <c r="AY212">
        <f t="shared" si="120"/>
        <v>145.4</v>
      </c>
      <c r="AZ212">
        <f t="shared" si="121"/>
        <v>130.30000000000001</v>
      </c>
      <c r="BA212">
        <f t="shared" si="122"/>
        <v>143.1</v>
      </c>
      <c r="BB212">
        <f t="shared" si="123"/>
        <v>150.19999999999999</v>
      </c>
      <c r="BC212">
        <f t="shared" si="124"/>
        <v>133.1</v>
      </c>
      <c r="BD212">
        <f t="shared" si="125"/>
        <v>140.1</v>
      </c>
      <c r="BE212">
        <f t="shared" si="126"/>
        <v>142.4</v>
      </c>
      <c r="BF212">
        <f t="shared" si="127"/>
        <v>1787.4999999999995</v>
      </c>
      <c r="BG212">
        <f t="shared" si="128"/>
        <v>448</v>
      </c>
      <c r="BH212">
        <f t="shared" si="129"/>
        <v>278.5</v>
      </c>
      <c r="BI212">
        <f t="shared" si="130"/>
        <v>445.1</v>
      </c>
      <c r="BJ212">
        <f t="shared" si="131"/>
        <v>445.1</v>
      </c>
      <c r="BK212">
        <f t="shared" si="132"/>
        <v>280.60000000000002</v>
      </c>
    </row>
    <row r="213" spans="1:63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f t="shared" si="100"/>
        <v>138.1</v>
      </c>
      <c r="AF213">
        <f t="shared" si="101"/>
        <v>146.30000000000001</v>
      </c>
      <c r="AG213">
        <f t="shared" si="102"/>
        <v>137.80000000000001</v>
      </c>
      <c r="AH213">
        <f t="shared" si="103"/>
        <v>141.6</v>
      </c>
      <c r="AI213">
        <f t="shared" si="104"/>
        <v>118.1</v>
      </c>
      <c r="AJ213">
        <f t="shared" si="105"/>
        <v>141.5</v>
      </c>
      <c r="AK213">
        <f t="shared" si="106"/>
        <v>145.19999999999999</v>
      </c>
      <c r="AL213">
        <f t="shared" si="107"/>
        <v>115.3</v>
      </c>
      <c r="AM213">
        <f t="shared" si="108"/>
        <v>112.5</v>
      </c>
      <c r="AN213">
        <f t="shared" si="109"/>
        <v>141.4</v>
      </c>
      <c r="AO213">
        <f t="shared" si="110"/>
        <v>128</v>
      </c>
      <c r="AP213">
        <f t="shared" si="111"/>
        <v>152.6</v>
      </c>
      <c r="AQ213">
        <f t="shared" si="112"/>
        <v>139.1</v>
      </c>
      <c r="AR213">
        <f t="shared" si="113"/>
        <v>164.4</v>
      </c>
      <c r="AS213">
        <f t="shared" si="114"/>
        <v>142.4</v>
      </c>
      <c r="AT213">
        <f t="shared" si="115"/>
        <v>130.19999999999999</v>
      </c>
      <c r="AU213">
        <f t="shared" si="116"/>
        <v>140.5</v>
      </c>
      <c r="AV213">
        <f t="shared" si="117"/>
        <v>146.9</v>
      </c>
      <c r="AW213">
        <f t="shared" si="118"/>
        <v>136.69999999999999</v>
      </c>
      <c r="AX213">
        <f t="shared" si="119"/>
        <v>135.80000000000001</v>
      </c>
      <c r="AY213">
        <f t="shared" si="120"/>
        <v>136.80000000000001</v>
      </c>
      <c r="AZ213">
        <f t="shared" si="121"/>
        <v>121.2</v>
      </c>
      <c r="BA213">
        <f t="shared" si="122"/>
        <v>131.30000000000001</v>
      </c>
      <c r="BB213">
        <f t="shared" si="123"/>
        <v>146.1</v>
      </c>
      <c r="BC213">
        <f t="shared" si="124"/>
        <v>130.5</v>
      </c>
      <c r="BD213">
        <f t="shared" si="125"/>
        <v>132.19999999999999</v>
      </c>
      <c r="BE213">
        <f t="shared" si="126"/>
        <v>139</v>
      </c>
      <c r="BF213">
        <f t="shared" si="127"/>
        <v>1757.4999999999998</v>
      </c>
      <c r="BG213">
        <f t="shared" si="128"/>
        <v>413.1</v>
      </c>
      <c r="BH213">
        <f t="shared" si="129"/>
        <v>267.3</v>
      </c>
      <c r="BI213">
        <f t="shared" si="130"/>
        <v>428.79999999999995</v>
      </c>
      <c r="BJ213">
        <f t="shared" si="131"/>
        <v>427.90000000000003</v>
      </c>
      <c r="BK213">
        <f t="shared" si="132"/>
        <v>257.89999999999998</v>
      </c>
    </row>
    <row r="214" spans="1:63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f t="shared" si="100"/>
        <v>137.4</v>
      </c>
      <c r="AF214">
        <f t="shared" si="101"/>
        <v>149.19999999999999</v>
      </c>
      <c r="AG214">
        <f t="shared" si="102"/>
        <v>137.1</v>
      </c>
      <c r="AH214">
        <f t="shared" si="103"/>
        <v>141.80000000000001</v>
      </c>
      <c r="AI214">
        <f t="shared" si="104"/>
        <v>121.1</v>
      </c>
      <c r="AJ214">
        <f t="shared" si="105"/>
        <v>142.80000000000001</v>
      </c>
      <c r="AK214">
        <f t="shared" si="106"/>
        <v>146.69999999999999</v>
      </c>
      <c r="AL214">
        <f t="shared" si="107"/>
        <v>119.1</v>
      </c>
      <c r="AM214">
        <f t="shared" si="108"/>
        <v>111.9</v>
      </c>
      <c r="AN214">
        <f t="shared" si="109"/>
        <v>140.9</v>
      </c>
      <c r="AO214">
        <f t="shared" si="110"/>
        <v>133.5</v>
      </c>
      <c r="AP214">
        <f t="shared" si="111"/>
        <v>154.5</v>
      </c>
      <c r="AQ214">
        <f t="shared" si="112"/>
        <v>139.69999999999999</v>
      </c>
      <c r="AR214">
        <f t="shared" si="113"/>
        <v>162.6</v>
      </c>
      <c r="AS214">
        <f t="shared" si="114"/>
        <v>148</v>
      </c>
      <c r="AT214">
        <f t="shared" si="115"/>
        <v>139.1</v>
      </c>
      <c r="AU214">
        <f t="shared" si="116"/>
        <v>146.69999999999999</v>
      </c>
      <c r="AV214">
        <f t="shared" si="117"/>
        <v>146.9</v>
      </c>
      <c r="AW214">
        <f t="shared" si="118"/>
        <v>145.1</v>
      </c>
      <c r="AX214">
        <f t="shared" si="119"/>
        <v>142.19999999999999</v>
      </c>
      <c r="AY214">
        <f t="shared" si="120"/>
        <v>142.1</v>
      </c>
      <c r="AZ214">
        <f t="shared" si="121"/>
        <v>125.5</v>
      </c>
      <c r="BA214">
        <f t="shared" si="122"/>
        <v>136.5</v>
      </c>
      <c r="BB214">
        <f t="shared" si="123"/>
        <v>147.80000000000001</v>
      </c>
      <c r="BC214">
        <f t="shared" si="124"/>
        <v>132</v>
      </c>
      <c r="BD214">
        <f t="shared" si="125"/>
        <v>136.30000000000001</v>
      </c>
      <c r="BE214">
        <f t="shared" si="126"/>
        <v>140.80000000000001</v>
      </c>
      <c r="BF214">
        <f t="shared" si="127"/>
        <v>1775.7000000000003</v>
      </c>
      <c r="BG214">
        <f t="shared" si="128"/>
        <v>433.8</v>
      </c>
      <c r="BH214">
        <f t="shared" si="129"/>
        <v>274.10000000000002</v>
      </c>
      <c r="BI214">
        <f t="shared" si="130"/>
        <v>436.9</v>
      </c>
      <c r="BJ214">
        <f t="shared" si="131"/>
        <v>435.40000000000003</v>
      </c>
      <c r="BK214">
        <f t="shared" si="132"/>
        <v>270.60000000000002</v>
      </c>
    </row>
    <row r="215" spans="1:63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f t="shared" si="100"/>
        <v>137.1</v>
      </c>
      <c r="AF215">
        <f t="shared" si="101"/>
        <v>151.9</v>
      </c>
      <c r="AG215">
        <f t="shared" si="102"/>
        <v>137.4</v>
      </c>
      <c r="AH215">
        <f t="shared" si="103"/>
        <v>142.4</v>
      </c>
      <c r="AI215">
        <f t="shared" si="104"/>
        <v>124.2</v>
      </c>
      <c r="AJ215">
        <f t="shared" si="105"/>
        <v>140.19999999999999</v>
      </c>
      <c r="AK215">
        <f t="shared" si="106"/>
        <v>136.6</v>
      </c>
      <c r="AL215">
        <f t="shared" si="107"/>
        <v>120.9</v>
      </c>
      <c r="AM215">
        <f t="shared" si="108"/>
        <v>109.9</v>
      </c>
      <c r="AN215">
        <f t="shared" si="109"/>
        <v>140.19999999999999</v>
      </c>
      <c r="AO215">
        <f t="shared" si="110"/>
        <v>137.80000000000001</v>
      </c>
      <c r="AP215">
        <f t="shared" si="111"/>
        <v>156</v>
      </c>
      <c r="AQ215">
        <f t="shared" si="112"/>
        <v>138.5</v>
      </c>
      <c r="AR215">
        <f t="shared" si="113"/>
        <v>162.4</v>
      </c>
      <c r="AS215">
        <f t="shared" si="114"/>
        <v>151.6</v>
      </c>
      <c r="AT215">
        <f t="shared" si="115"/>
        <v>145.9</v>
      </c>
      <c r="AU215">
        <f t="shared" si="116"/>
        <v>150.80000000000001</v>
      </c>
      <c r="AV215">
        <f t="shared" si="117"/>
        <v>146.5</v>
      </c>
      <c r="AW215">
        <f t="shared" si="118"/>
        <v>149</v>
      </c>
      <c r="AX215">
        <f t="shared" si="119"/>
        <v>149.5</v>
      </c>
      <c r="AY215">
        <f t="shared" si="120"/>
        <v>149.6</v>
      </c>
      <c r="AZ215">
        <f t="shared" si="121"/>
        <v>128.9</v>
      </c>
      <c r="BA215">
        <f t="shared" si="122"/>
        <v>143.30000000000001</v>
      </c>
      <c r="BB215">
        <f t="shared" si="123"/>
        <v>155.1</v>
      </c>
      <c r="BC215">
        <f t="shared" si="124"/>
        <v>133.19999999999999</v>
      </c>
      <c r="BD215">
        <f t="shared" si="125"/>
        <v>141.6</v>
      </c>
      <c r="BE215">
        <f t="shared" si="126"/>
        <v>141.9</v>
      </c>
      <c r="BF215">
        <f t="shared" si="127"/>
        <v>1773.1000000000001</v>
      </c>
      <c r="BG215">
        <f t="shared" si="128"/>
        <v>448.3</v>
      </c>
      <c r="BH215">
        <f t="shared" si="129"/>
        <v>282.79999999999995</v>
      </c>
      <c r="BI215">
        <f t="shared" si="130"/>
        <v>451.1</v>
      </c>
      <c r="BJ215">
        <f t="shared" si="131"/>
        <v>447.30000000000007</v>
      </c>
      <c r="BK215">
        <f t="shared" si="132"/>
        <v>277.89999999999998</v>
      </c>
    </row>
    <row r="216" spans="1:63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f t="shared" si="100"/>
        <v>138.5</v>
      </c>
      <c r="AF216">
        <f t="shared" si="101"/>
        <v>147.80000000000001</v>
      </c>
      <c r="AG216">
        <f t="shared" si="102"/>
        <v>141.1</v>
      </c>
      <c r="AH216">
        <f t="shared" si="103"/>
        <v>141.6</v>
      </c>
      <c r="AI216">
        <f t="shared" si="104"/>
        <v>118.1</v>
      </c>
      <c r="AJ216">
        <f t="shared" si="105"/>
        <v>138.5</v>
      </c>
      <c r="AK216">
        <f t="shared" si="106"/>
        <v>132.4</v>
      </c>
      <c r="AL216">
        <f t="shared" si="107"/>
        <v>117.5</v>
      </c>
      <c r="AM216">
        <f t="shared" si="108"/>
        <v>111</v>
      </c>
      <c r="AN216">
        <f t="shared" si="109"/>
        <v>141.5</v>
      </c>
      <c r="AO216">
        <f t="shared" si="110"/>
        <v>128.1</v>
      </c>
      <c r="AP216">
        <f t="shared" si="111"/>
        <v>152.9</v>
      </c>
      <c r="AQ216">
        <f t="shared" si="112"/>
        <v>137.6</v>
      </c>
      <c r="AR216">
        <f t="shared" si="113"/>
        <v>164.6</v>
      </c>
      <c r="AS216">
        <f t="shared" si="114"/>
        <v>142.69999999999999</v>
      </c>
      <c r="AT216">
        <f t="shared" si="115"/>
        <v>130.30000000000001</v>
      </c>
      <c r="AU216">
        <f t="shared" si="116"/>
        <v>140.80000000000001</v>
      </c>
      <c r="AV216">
        <f t="shared" si="117"/>
        <v>146.5</v>
      </c>
      <c r="AW216">
        <f t="shared" si="118"/>
        <v>132.4</v>
      </c>
      <c r="AX216">
        <f t="shared" si="119"/>
        <v>136.19999999999999</v>
      </c>
      <c r="AY216">
        <f t="shared" si="120"/>
        <v>137.30000000000001</v>
      </c>
      <c r="AZ216">
        <f t="shared" si="121"/>
        <v>118.8</v>
      </c>
      <c r="BA216">
        <f t="shared" si="122"/>
        <v>131.69999999999999</v>
      </c>
      <c r="BB216">
        <f t="shared" si="123"/>
        <v>146.5</v>
      </c>
      <c r="BC216">
        <f t="shared" si="124"/>
        <v>130.80000000000001</v>
      </c>
      <c r="BD216">
        <f t="shared" si="125"/>
        <v>131.69999999999999</v>
      </c>
      <c r="BE216">
        <f t="shared" si="126"/>
        <v>138</v>
      </c>
      <c r="BF216">
        <f t="shared" si="127"/>
        <v>1746.6</v>
      </c>
      <c r="BG216">
        <f t="shared" si="128"/>
        <v>413.8</v>
      </c>
      <c r="BH216">
        <f t="shared" si="129"/>
        <v>268.10000000000002</v>
      </c>
      <c r="BI216">
        <f t="shared" si="130"/>
        <v>429.2</v>
      </c>
      <c r="BJ216">
        <f t="shared" si="131"/>
        <v>427.99999999999994</v>
      </c>
      <c r="BK216">
        <f t="shared" si="132"/>
        <v>251.2</v>
      </c>
    </row>
    <row r="217" spans="1:63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f t="shared" si="100"/>
        <v>137.5</v>
      </c>
      <c r="AF217">
        <f t="shared" si="101"/>
        <v>150.5</v>
      </c>
      <c r="AG217">
        <f t="shared" si="102"/>
        <v>138.80000000000001</v>
      </c>
      <c r="AH217">
        <f t="shared" si="103"/>
        <v>142.1</v>
      </c>
      <c r="AI217">
        <f t="shared" si="104"/>
        <v>122</v>
      </c>
      <c r="AJ217">
        <f t="shared" si="105"/>
        <v>139.4</v>
      </c>
      <c r="AK217">
        <f t="shared" si="106"/>
        <v>135.19999999999999</v>
      </c>
      <c r="AL217">
        <f t="shared" si="107"/>
        <v>119.8</v>
      </c>
      <c r="AM217">
        <f t="shared" si="108"/>
        <v>110.3</v>
      </c>
      <c r="AN217">
        <f t="shared" si="109"/>
        <v>140.6</v>
      </c>
      <c r="AO217">
        <f t="shared" si="110"/>
        <v>133.80000000000001</v>
      </c>
      <c r="AP217">
        <f t="shared" si="111"/>
        <v>154.6</v>
      </c>
      <c r="AQ217">
        <f t="shared" si="112"/>
        <v>138.19999999999999</v>
      </c>
      <c r="AR217">
        <f t="shared" si="113"/>
        <v>163</v>
      </c>
      <c r="AS217">
        <f t="shared" si="114"/>
        <v>148.1</v>
      </c>
      <c r="AT217">
        <f t="shared" si="115"/>
        <v>139.4</v>
      </c>
      <c r="AU217">
        <f t="shared" si="116"/>
        <v>146.80000000000001</v>
      </c>
      <c r="AV217">
        <f t="shared" si="117"/>
        <v>146.5</v>
      </c>
      <c r="AW217">
        <f t="shared" si="118"/>
        <v>142.69999999999999</v>
      </c>
      <c r="AX217">
        <f t="shared" si="119"/>
        <v>143.19999999999999</v>
      </c>
      <c r="AY217">
        <f t="shared" si="120"/>
        <v>144.9</v>
      </c>
      <c r="AZ217">
        <f t="shared" si="121"/>
        <v>123.6</v>
      </c>
      <c r="BA217">
        <f t="shared" si="122"/>
        <v>136.80000000000001</v>
      </c>
      <c r="BB217">
        <f t="shared" si="123"/>
        <v>150.1</v>
      </c>
      <c r="BC217">
        <f t="shared" si="124"/>
        <v>132.19999999999999</v>
      </c>
      <c r="BD217">
        <f t="shared" si="125"/>
        <v>136.80000000000001</v>
      </c>
      <c r="BE217">
        <f t="shared" si="126"/>
        <v>140.1</v>
      </c>
      <c r="BF217">
        <f t="shared" si="127"/>
        <v>1762.7999999999997</v>
      </c>
      <c r="BG217">
        <f t="shared" si="128"/>
        <v>434.3</v>
      </c>
      <c r="BH217">
        <f t="shared" si="129"/>
        <v>277.10000000000002</v>
      </c>
      <c r="BI217">
        <f t="shared" si="130"/>
        <v>439.79999999999995</v>
      </c>
      <c r="BJ217">
        <f t="shared" si="131"/>
        <v>436.6</v>
      </c>
      <c r="BK217">
        <f t="shared" si="132"/>
        <v>266.29999999999995</v>
      </c>
    </row>
    <row r="218" spans="1:63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f t="shared" si="100"/>
        <v>136.6</v>
      </c>
      <c r="AF218">
        <f t="shared" si="101"/>
        <v>152.5</v>
      </c>
      <c r="AG218">
        <f t="shared" si="102"/>
        <v>138.19999999999999</v>
      </c>
      <c r="AH218">
        <f t="shared" si="103"/>
        <v>142.4</v>
      </c>
      <c r="AI218">
        <f t="shared" si="104"/>
        <v>123.9</v>
      </c>
      <c r="AJ218">
        <f t="shared" si="105"/>
        <v>135.5</v>
      </c>
      <c r="AK218">
        <f t="shared" si="106"/>
        <v>131.69999999999999</v>
      </c>
      <c r="AL218">
        <f t="shared" si="107"/>
        <v>121.3</v>
      </c>
      <c r="AM218">
        <f t="shared" si="108"/>
        <v>108.4</v>
      </c>
      <c r="AN218">
        <f t="shared" si="109"/>
        <v>138.9</v>
      </c>
      <c r="AO218">
        <f t="shared" si="110"/>
        <v>137</v>
      </c>
      <c r="AP218">
        <f t="shared" si="111"/>
        <v>155.80000000000001</v>
      </c>
      <c r="AQ218">
        <f t="shared" si="112"/>
        <v>137.4</v>
      </c>
      <c r="AR218">
        <f t="shared" si="113"/>
        <v>162.69999999999999</v>
      </c>
      <c r="AS218">
        <f t="shared" si="114"/>
        <v>150.6</v>
      </c>
      <c r="AT218">
        <f t="shared" si="115"/>
        <v>145.1</v>
      </c>
      <c r="AU218">
        <f t="shared" si="116"/>
        <v>149.9</v>
      </c>
      <c r="AV218">
        <f t="shared" si="117"/>
        <v>147.69999999999999</v>
      </c>
      <c r="AW218">
        <f t="shared" si="118"/>
        <v>146.19999999999999</v>
      </c>
      <c r="AX218">
        <f t="shared" si="119"/>
        <v>150.1</v>
      </c>
      <c r="AY218">
        <f t="shared" si="120"/>
        <v>149.6</v>
      </c>
      <c r="AZ218">
        <f t="shared" si="121"/>
        <v>128.6</v>
      </c>
      <c r="BA218">
        <f t="shared" si="122"/>
        <v>142.9</v>
      </c>
      <c r="BB218">
        <f t="shared" si="123"/>
        <v>155.19999999999999</v>
      </c>
      <c r="BC218">
        <f t="shared" si="124"/>
        <v>133.5</v>
      </c>
      <c r="BD218">
        <f t="shared" si="125"/>
        <v>141.69999999999999</v>
      </c>
      <c r="BE218">
        <f t="shared" si="126"/>
        <v>141</v>
      </c>
      <c r="BF218">
        <f t="shared" si="127"/>
        <v>1759.6000000000001</v>
      </c>
      <c r="BG218">
        <f t="shared" si="128"/>
        <v>445.6</v>
      </c>
      <c r="BH218">
        <f t="shared" si="129"/>
        <v>283.10000000000002</v>
      </c>
      <c r="BI218">
        <f t="shared" si="130"/>
        <v>452.99999999999994</v>
      </c>
      <c r="BJ218">
        <f t="shared" si="131"/>
        <v>447.3</v>
      </c>
      <c r="BK218">
        <f t="shared" si="132"/>
        <v>274.79999999999995</v>
      </c>
    </row>
    <row r="219" spans="1:63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f t="shared" si="100"/>
        <v>138.30000000000001</v>
      </c>
      <c r="AF219">
        <f t="shared" si="101"/>
        <v>149.4</v>
      </c>
      <c r="AG219">
        <f t="shared" si="102"/>
        <v>143.5</v>
      </c>
      <c r="AH219">
        <f t="shared" si="103"/>
        <v>141.69999999999999</v>
      </c>
      <c r="AI219">
        <f t="shared" si="104"/>
        <v>118.1</v>
      </c>
      <c r="AJ219">
        <f t="shared" si="105"/>
        <v>135.19999999999999</v>
      </c>
      <c r="AK219">
        <f t="shared" si="106"/>
        <v>130.5</v>
      </c>
      <c r="AL219">
        <f t="shared" si="107"/>
        <v>118.2</v>
      </c>
      <c r="AM219">
        <f t="shared" si="108"/>
        <v>110.4</v>
      </c>
      <c r="AN219">
        <f t="shared" si="109"/>
        <v>140.4</v>
      </c>
      <c r="AO219">
        <f t="shared" si="110"/>
        <v>128.1</v>
      </c>
      <c r="AP219">
        <f t="shared" si="111"/>
        <v>153.19999999999999</v>
      </c>
      <c r="AQ219">
        <f t="shared" si="112"/>
        <v>137.30000000000001</v>
      </c>
      <c r="AR219">
        <f t="shared" si="113"/>
        <v>164.7</v>
      </c>
      <c r="AS219">
        <f t="shared" si="114"/>
        <v>143</v>
      </c>
      <c r="AT219">
        <f t="shared" si="115"/>
        <v>130.4</v>
      </c>
      <c r="AU219">
        <f t="shared" si="116"/>
        <v>141.1</v>
      </c>
      <c r="AV219">
        <f t="shared" si="117"/>
        <v>147.69999999999999</v>
      </c>
      <c r="AW219">
        <f t="shared" si="118"/>
        <v>128.6</v>
      </c>
      <c r="AX219">
        <f t="shared" si="119"/>
        <v>136.30000000000001</v>
      </c>
      <c r="AY219">
        <f t="shared" si="120"/>
        <v>137.80000000000001</v>
      </c>
      <c r="AZ219">
        <f t="shared" si="121"/>
        <v>118.6</v>
      </c>
      <c r="BA219">
        <f t="shared" si="122"/>
        <v>131.9</v>
      </c>
      <c r="BB219">
        <f t="shared" si="123"/>
        <v>146.6</v>
      </c>
      <c r="BC219">
        <f t="shared" si="124"/>
        <v>131.69999999999999</v>
      </c>
      <c r="BD219">
        <f t="shared" si="125"/>
        <v>131.80000000000001</v>
      </c>
      <c r="BE219">
        <f t="shared" si="126"/>
        <v>138</v>
      </c>
      <c r="BF219">
        <f t="shared" si="127"/>
        <v>1744.3000000000002</v>
      </c>
      <c r="BG219">
        <f t="shared" si="128"/>
        <v>414.5</v>
      </c>
      <c r="BH219">
        <f t="shared" si="129"/>
        <v>269.5</v>
      </c>
      <c r="BI219">
        <f t="shared" si="130"/>
        <v>430.59999999999997</v>
      </c>
      <c r="BJ219">
        <f t="shared" si="131"/>
        <v>428.40000000000003</v>
      </c>
      <c r="BK219">
        <f t="shared" si="132"/>
        <v>247.2</v>
      </c>
    </row>
    <row r="220" spans="1:63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f t="shared" si="100"/>
        <v>137.1</v>
      </c>
      <c r="AF220">
        <f t="shared" si="101"/>
        <v>151.4</v>
      </c>
      <c r="AG220">
        <f t="shared" si="102"/>
        <v>140.19999999999999</v>
      </c>
      <c r="AH220">
        <f t="shared" si="103"/>
        <v>142.1</v>
      </c>
      <c r="AI220">
        <f t="shared" si="104"/>
        <v>121.8</v>
      </c>
      <c r="AJ220">
        <f t="shared" si="105"/>
        <v>135.4</v>
      </c>
      <c r="AK220">
        <f t="shared" si="106"/>
        <v>131.30000000000001</v>
      </c>
      <c r="AL220">
        <f t="shared" si="107"/>
        <v>120.3</v>
      </c>
      <c r="AM220">
        <f t="shared" si="108"/>
        <v>109.1</v>
      </c>
      <c r="AN220">
        <f t="shared" si="109"/>
        <v>139.4</v>
      </c>
      <c r="AO220">
        <f t="shared" si="110"/>
        <v>133.30000000000001</v>
      </c>
      <c r="AP220">
        <f t="shared" si="111"/>
        <v>154.6</v>
      </c>
      <c r="AQ220">
        <f t="shared" si="112"/>
        <v>137.4</v>
      </c>
      <c r="AR220">
        <f t="shared" si="113"/>
        <v>163.19999999999999</v>
      </c>
      <c r="AS220">
        <f t="shared" si="114"/>
        <v>147.6</v>
      </c>
      <c r="AT220">
        <f t="shared" si="115"/>
        <v>139</v>
      </c>
      <c r="AU220">
        <f t="shared" si="116"/>
        <v>146.4</v>
      </c>
      <c r="AV220">
        <f t="shared" si="117"/>
        <v>147.69999999999999</v>
      </c>
      <c r="AW220">
        <f t="shared" si="118"/>
        <v>139.5</v>
      </c>
      <c r="AX220">
        <f t="shared" si="119"/>
        <v>143.6</v>
      </c>
      <c r="AY220">
        <f t="shared" si="120"/>
        <v>145.1</v>
      </c>
      <c r="AZ220">
        <f t="shared" si="121"/>
        <v>123.3</v>
      </c>
      <c r="BA220">
        <f t="shared" si="122"/>
        <v>136.69999999999999</v>
      </c>
      <c r="BB220">
        <f t="shared" si="123"/>
        <v>150.19999999999999</v>
      </c>
      <c r="BC220">
        <f t="shared" si="124"/>
        <v>132.80000000000001</v>
      </c>
      <c r="BD220">
        <f t="shared" si="125"/>
        <v>136.9</v>
      </c>
      <c r="BE220">
        <f t="shared" si="126"/>
        <v>139.6</v>
      </c>
      <c r="BF220">
        <f t="shared" si="127"/>
        <v>1753.3999999999999</v>
      </c>
      <c r="BG220">
        <f t="shared" si="128"/>
        <v>433</v>
      </c>
      <c r="BH220">
        <f t="shared" si="129"/>
        <v>277.89999999999998</v>
      </c>
      <c r="BI220">
        <f t="shared" si="130"/>
        <v>441.49999999999994</v>
      </c>
      <c r="BJ220">
        <f t="shared" si="131"/>
        <v>436.79999999999995</v>
      </c>
      <c r="BK220">
        <f t="shared" si="132"/>
        <v>262.8</v>
      </c>
    </row>
    <row r="221" spans="1:63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f t="shared" si="100"/>
        <v>136.80000000000001</v>
      </c>
      <c r="AF221">
        <f t="shared" si="101"/>
        <v>153</v>
      </c>
      <c r="AG221">
        <f t="shared" si="102"/>
        <v>139.1</v>
      </c>
      <c r="AH221">
        <f t="shared" si="103"/>
        <v>142.5</v>
      </c>
      <c r="AI221">
        <f t="shared" si="104"/>
        <v>124.1</v>
      </c>
      <c r="AJ221">
        <f t="shared" si="105"/>
        <v>135.80000000000001</v>
      </c>
      <c r="AK221">
        <f t="shared" si="106"/>
        <v>128.69999999999999</v>
      </c>
      <c r="AL221">
        <f t="shared" si="107"/>
        <v>121.5</v>
      </c>
      <c r="AM221">
        <f t="shared" si="108"/>
        <v>108.3</v>
      </c>
      <c r="AN221">
        <f t="shared" si="109"/>
        <v>139.19999999999999</v>
      </c>
      <c r="AO221">
        <f t="shared" si="110"/>
        <v>137.4</v>
      </c>
      <c r="AP221">
        <f t="shared" si="111"/>
        <v>156.19999999999999</v>
      </c>
      <c r="AQ221">
        <f t="shared" si="112"/>
        <v>137.19999999999999</v>
      </c>
      <c r="AR221">
        <f t="shared" si="113"/>
        <v>162.80000000000001</v>
      </c>
      <c r="AS221">
        <f t="shared" si="114"/>
        <v>150.5</v>
      </c>
      <c r="AT221">
        <f t="shared" si="115"/>
        <v>146.1</v>
      </c>
      <c r="AU221">
        <f t="shared" si="116"/>
        <v>149.9</v>
      </c>
      <c r="AV221">
        <f t="shared" si="117"/>
        <v>148.5</v>
      </c>
      <c r="AW221">
        <f t="shared" si="118"/>
        <v>145.30000000000001</v>
      </c>
      <c r="AX221">
        <f t="shared" si="119"/>
        <v>150.1</v>
      </c>
      <c r="AY221">
        <f t="shared" si="120"/>
        <v>149.9</v>
      </c>
      <c r="AZ221">
        <f t="shared" si="121"/>
        <v>129.19999999999999</v>
      </c>
      <c r="BA221">
        <f t="shared" si="122"/>
        <v>143.4</v>
      </c>
      <c r="BB221">
        <f t="shared" si="123"/>
        <v>155.5</v>
      </c>
      <c r="BC221">
        <f t="shared" si="124"/>
        <v>134.9</v>
      </c>
      <c r="BD221">
        <f t="shared" si="125"/>
        <v>142.19999999999999</v>
      </c>
      <c r="BE221">
        <f t="shared" si="126"/>
        <v>141</v>
      </c>
      <c r="BF221">
        <f t="shared" si="127"/>
        <v>1759.8000000000002</v>
      </c>
      <c r="BG221">
        <f t="shared" si="128"/>
        <v>446.5</v>
      </c>
      <c r="BH221">
        <f t="shared" si="129"/>
        <v>284.8</v>
      </c>
      <c r="BI221">
        <f t="shared" si="130"/>
        <v>454.1</v>
      </c>
      <c r="BJ221">
        <f t="shared" si="131"/>
        <v>448.40000000000003</v>
      </c>
      <c r="BK221">
        <f t="shared" si="132"/>
        <v>274.5</v>
      </c>
    </row>
    <row r="222" spans="1:63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f t="shared" si="100"/>
        <v>139.4</v>
      </c>
      <c r="AF222">
        <f t="shared" si="101"/>
        <v>150.1</v>
      </c>
      <c r="AG222">
        <f t="shared" si="102"/>
        <v>145.30000000000001</v>
      </c>
      <c r="AH222">
        <f t="shared" si="103"/>
        <v>141.69999999999999</v>
      </c>
      <c r="AI222">
        <f t="shared" si="104"/>
        <v>118.4</v>
      </c>
      <c r="AJ222">
        <f t="shared" si="105"/>
        <v>137</v>
      </c>
      <c r="AK222">
        <f t="shared" si="106"/>
        <v>131.6</v>
      </c>
      <c r="AL222">
        <f t="shared" si="107"/>
        <v>119.9</v>
      </c>
      <c r="AM222">
        <f t="shared" si="108"/>
        <v>110.4</v>
      </c>
      <c r="AN222">
        <f t="shared" si="109"/>
        <v>140.80000000000001</v>
      </c>
      <c r="AO222">
        <f t="shared" si="110"/>
        <v>128.30000000000001</v>
      </c>
      <c r="AP222">
        <f t="shared" si="111"/>
        <v>153.5</v>
      </c>
      <c r="AQ222">
        <f t="shared" si="112"/>
        <v>138</v>
      </c>
      <c r="AR222">
        <f t="shared" si="113"/>
        <v>164.9</v>
      </c>
      <c r="AS222">
        <f t="shared" si="114"/>
        <v>143.30000000000001</v>
      </c>
      <c r="AT222">
        <f t="shared" si="115"/>
        <v>130.80000000000001</v>
      </c>
      <c r="AU222">
        <f t="shared" si="116"/>
        <v>141.4</v>
      </c>
      <c r="AV222">
        <f t="shared" si="117"/>
        <v>148.5</v>
      </c>
      <c r="AW222">
        <f t="shared" si="118"/>
        <v>127.1</v>
      </c>
      <c r="AX222">
        <f t="shared" si="119"/>
        <v>136.6</v>
      </c>
      <c r="AY222">
        <f t="shared" si="120"/>
        <v>138.5</v>
      </c>
      <c r="AZ222">
        <f t="shared" si="121"/>
        <v>119.2</v>
      </c>
      <c r="BA222">
        <f t="shared" si="122"/>
        <v>132.19999999999999</v>
      </c>
      <c r="BB222">
        <f t="shared" si="123"/>
        <v>146.6</v>
      </c>
      <c r="BC222">
        <f t="shared" si="124"/>
        <v>133</v>
      </c>
      <c r="BD222">
        <f t="shared" si="125"/>
        <v>132.4</v>
      </c>
      <c r="BE222">
        <f t="shared" si="126"/>
        <v>138.6</v>
      </c>
      <c r="BF222">
        <f t="shared" si="127"/>
        <v>1754.4</v>
      </c>
      <c r="BG222">
        <f t="shared" si="128"/>
        <v>415.5</v>
      </c>
      <c r="BH222">
        <f t="shared" si="129"/>
        <v>271.5</v>
      </c>
      <c r="BI222">
        <f t="shared" si="130"/>
        <v>431.7</v>
      </c>
      <c r="BJ222">
        <f t="shared" si="131"/>
        <v>429.5</v>
      </c>
      <c r="BK222">
        <f t="shared" si="132"/>
        <v>246.3</v>
      </c>
    </row>
    <row r="223" spans="1:63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f t="shared" si="100"/>
        <v>137.6</v>
      </c>
      <c r="AF223">
        <f t="shared" si="101"/>
        <v>152</v>
      </c>
      <c r="AG223">
        <f t="shared" si="102"/>
        <v>141.5</v>
      </c>
      <c r="AH223">
        <f t="shared" si="103"/>
        <v>142.19999999999999</v>
      </c>
      <c r="AI223">
        <f t="shared" si="104"/>
        <v>122</v>
      </c>
      <c r="AJ223">
        <f t="shared" si="105"/>
        <v>136.4</v>
      </c>
      <c r="AK223">
        <f t="shared" si="106"/>
        <v>129.69999999999999</v>
      </c>
      <c r="AL223">
        <f t="shared" si="107"/>
        <v>121</v>
      </c>
      <c r="AM223">
        <f t="shared" si="108"/>
        <v>109</v>
      </c>
      <c r="AN223">
        <f t="shared" si="109"/>
        <v>139.69999999999999</v>
      </c>
      <c r="AO223">
        <f t="shared" si="110"/>
        <v>133.6</v>
      </c>
      <c r="AP223">
        <f t="shared" si="111"/>
        <v>154.9</v>
      </c>
      <c r="AQ223">
        <f t="shared" si="112"/>
        <v>137.5</v>
      </c>
      <c r="AR223">
        <f t="shared" si="113"/>
        <v>163.4</v>
      </c>
      <c r="AS223">
        <f t="shared" si="114"/>
        <v>147.69999999999999</v>
      </c>
      <c r="AT223">
        <f t="shared" si="115"/>
        <v>139.69999999999999</v>
      </c>
      <c r="AU223">
        <f t="shared" si="116"/>
        <v>146.5</v>
      </c>
      <c r="AV223">
        <f t="shared" si="117"/>
        <v>148.5</v>
      </c>
      <c r="AW223">
        <f t="shared" si="118"/>
        <v>138.4</v>
      </c>
      <c r="AX223">
        <f t="shared" si="119"/>
        <v>143.69999999999999</v>
      </c>
      <c r="AY223">
        <f t="shared" si="120"/>
        <v>145.6</v>
      </c>
      <c r="AZ223">
        <f t="shared" si="121"/>
        <v>123.9</v>
      </c>
      <c r="BA223">
        <f t="shared" si="122"/>
        <v>137.1</v>
      </c>
      <c r="BB223">
        <f t="shared" si="123"/>
        <v>150.30000000000001</v>
      </c>
      <c r="BC223">
        <f t="shared" si="124"/>
        <v>134.1</v>
      </c>
      <c r="BD223">
        <f t="shared" si="125"/>
        <v>137.4</v>
      </c>
      <c r="BE223">
        <f t="shared" si="126"/>
        <v>139.9</v>
      </c>
      <c r="BF223">
        <f t="shared" si="127"/>
        <v>1757.1</v>
      </c>
      <c r="BG223">
        <f t="shared" si="128"/>
        <v>433.9</v>
      </c>
      <c r="BH223">
        <f t="shared" si="129"/>
        <v>279.7</v>
      </c>
      <c r="BI223">
        <f t="shared" si="130"/>
        <v>442.5</v>
      </c>
      <c r="BJ223">
        <f t="shared" si="131"/>
        <v>437.9</v>
      </c>
      <c r="BK223">
        <f t="shared" si="132"/>
        <v>262.3</v>
      </c>
    </row>
    <row r="224" spans="1:63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f t="shared" si="100"/>
        <v>136.9</v>
      </c>
      <c r="AF224">
        <f t="shared" si="101"/>
        <v>154.1</v>
      </c>
      <c r="AG224">
        <f t="shared" si="102"/>
        <v>138.69999999999999</v>
      </c>
      <c r="AH224">
        <f t="shared" si="103"/>
        <v>142.5</v>
      </c>
      <c r="AI224">
        <f t="shared" si="104"/>
        <v>124.1</v>
      </c>
      <c r="AJ224">
        <f t="shared" si="105"/>
        <v>136.1</v>
      </c>
      <c r="AK224">
        <f t="shared" si="106"/>
        <v>128.19999999999999</v>
      </c>
      <c r="AL224">
        <f t="shared" si="107"/>
        <v>122.3</v>
      </c>
      <c r="AM224">
        <f t="shared" si="108"/>
        <v>108.3</v>
      </c>
      <c r="AN224">
        <f t="shared" si="109"/>
        <v>138.9</v>
      </c>
      <c r="AO224">
        <f t="shared" si="110"/>
        <v>137.4</v>
      </c>
      <c r="AP224">
        <f t="shared" si="111"/>
        <v>156.4</v>
      </c>
      <c r="AQ224">
        <f t="shared" si="112"/>
        <v>137.30000000000001</v>
      </c>
      <c r="AR224">
        <f t="shared" si="113"/>
        <v>162.9</v>
      </c>
      <c r="AS224">
        <f t="shared" si="114"/>
        <v>150.80000000000001</v>
      </c>
      <c r="AT224">
        <f t="shared" si="115"/>
        <v>146.1</v>
      </c>
      <c r="AU224">
        <f t="shared" si="116"/>
        <v>150.1</v>
      </c>
      <c r="AV224">
        <f t="shared" si="117"/>
        <v>149</v>
      </c>
      <c r="AW224">
        <f t="shared" si="118"/>
        <v>146.4</v>
      </c>
      <c r="AX224">
        <f t="shared" si="119"/>
        <v>150</v>
      </c>
      <c r="AY224">
        <f t="shared" si="120"/>
        <v>150.4</v>
      </c>
      <c r="AZ224">
        <f t="shared" si="121"/>
        <v>129.9</v>
      </c>
      <c r="BA224">
        <f t="shared" si="122"/>
        <v>143.80000000000001</v>
      </c>
      <c r="BB224">
        <f t="shared" si="123"/>
        <v>155.5</v>
      </c>
      <c r="BC224">
        <f t="shared" si="124"/>
        <v>134</v>
      </c>
      <c r="BD224">
        <f t="shared" si="125"/>
        <v>142.4</v>
      </c>
      <c r="BE224">
        <f t="shared" si="126"/>
        <v>141.19999999999999</v>
      </c>
      <c r="BF224">
        <f t="shared" si="127"/>
        <v>1761.2000000000003</v>
      </c>
      <c r="BG224">
        <f t="shared" si="128"/>
        <v>447</v>
      </c>
      <c r="BH224">
        <f t="shared" si="129"/>
        <v>284.39999999999998</v>
      </c>
      <c r="BI224">
        <f t="shared" si="130"/>
        <v>454.5</v>
      </c>
      <c r="BJ224">
        <f t="shared" si="131"/>
        <v>449.1</v>
      </c>
      <c r="BK224">
        <f t="shared" si="132"/>
        <v>276.3</v>
      </c>
    </row>
    <row r="225" spans="1:63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f t="shared" si="100"/>
        <v>139.69999999999999</v>
      </c>
      <c r="AF225">
        <f t="shared" si="101"/>
        <v>151.1</v>
      </c>
      <c r="AG225">
        <f t="shared" si="102"/>
        <v>142.9</v>
      </c>
      <c r="AH225">
        <f t="shared" si="103"/>
        <v>141.9</v>
      </c>
      <c r="AI225">
        <f t="shared" si="104"/>
        <v>118.4</v>
      </c>
      <c r="AJ225">
        <f t="shared" si="105"/>
        <v>139.4</v>
      </c>
      <c r="AK225">
        <f t="shared" si="106"/>
        <v>141.19999999999999</v>
      </c>
      <c r="AL225">
        <f t="shared" si="107"/>
        <v>120.7</v>
      </c>
      <c r="AM225">
        <f t="shared" si="108"/>
        <v>110.4</v>
      </c>
      <c r="AN225">
        <f t="shared" si="109"/>
        <v>140.69999999999999</v>
      </c>
      <c r="AO225">
        <f t="shared" si="110"/>
        <v>128.5</v>
      </c>
      <c r="AP225">
        <f t="shared" si="111"/>
        <v>153.9</v>
      </c>
      <c r="AQ225">
        <f t="shared" si="112"/>
        <v>139.6</v>
      </c>
      <c r="AR225">
        <f t="shared" si="113"/>
        <v>165.3</v>
      </c>
      <c r="AS225">
        <f t="shared" si="114"/>
        <v>143.5</v>
      </c>
      <c r="AT225">
        <f t="shared" si="115"/>
        <v>131.19999999999999</v>
      </c>
      <c r="AU225">
        <f t="shared" si="116"/>
        <v>141.6</v>
      </c>
      <c r="AV225">
        <f>IF(OR(U225="NA",U225="-"),AVERAGE(AV226:AV230),U225)</f>
        <v>149</v>
      </c>
      <c r="AW225">
        <f t="shared" si="118"/>
        <v>128.80000000000001</v>
      </c>
      <c r="AX225">
        <f t="shared" si="119"/>
        <v>136.80000000000001</v>
      </c>
      <c r="AY225">
        <f t="shared" si="120"/>
        <v>139.19999999999999</v>
      </c>
      <c r="AZ225">
        <f t="shared" si="121"/>
        <v>119.9</v>
      </c>
      <c r="BA225">
        <f t="shared" si="122"/>
        <v>133</v>
      </c>
      <c r="BB225">
        <f t="shared" si="123"/>
        <v>146.69999999999999</v>
      </c>
      <c r="BC225">
        <f t="shared" si="124"/>
        <v>132.5</v>
      </c>
      <c r="BD225">
        <f t="shared" si="125"/>
        <v>132.80000000000001</v>
      </c>
      <c r="BE225">
        <f t="shared" si="126"/>
        <v>139.5</v>
      </c>
      <c r="BF225">
        <f t="shared" si="127"/>
        <v>1768.4</v>
      </c>
      <c r="BG225">
        <f t="shared" si="128"/>
        <v>416.29999999999995</v>
      </c>
      <c r="BH225">
        <f t="shared" si="129"/>
        <v>271.7</v>
      </c>
      <c r="BI225">
        <f t="shared" si="130"/>
        <v>432.5</v>
      </c>
      <c r="BJ225">
        <f t="shared" si="131"/>
        <v>431.1</v>
      </c>
      <c r="BK225">
        <f t="shared" si="132"/>
        <v>248.70000000000002</v>
      </c>
    </row>
    <row r="226" spans="1:63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f t="shared" si="100"/>
        <v>137.80000000000001</v>
      </c>
      <c r="AF226">
        <f t="shared" si="101"/>
        <v>153</v>
      </c>
      <c r="AG226">
        <f t="shared" si="102"/>
        <v>140.30000000000001</v>
      </c>
      <c r="AH226">
        <f t="shared" si="103"/>
        <v>142.30000000000001</v>
      </c>
      <c r="AI226">
        <f t="shared" si="104"/>
        <v>122</v>
      </c>
      <c r="AJ226">
        <f t="shared" si="105"/>
        <v>137.6</v>
      </c>
      <c r="AK226">
        <f t="shared" si="106"/>
        <v>132.6</v>
      </c>
      <c r="AL226">
        <f t="shared" si="107"/>
        <v>121.8</v>
      </c>
      <c r="AM226">
        <f t="shared" si="108"/>
        <v>109</v>
      </c>
      <c r="AN226">
        <f t="shared" si="109"/>
        <v>139.5</v>
      </c>
      <c r="AO226">
        <f t="shared" si="110"/>
        <v>133.69999999999999</v>
      </c>
      <c r="AP226">
        <f t="shared" si="111"/>
        <v>155.19999999999999</v>
      </c>
      <c r="AQ226">
        <f t="shared" si="112"/>
        <v>138.1</v>
      </c>
      <c r="AR226">
        <f t="shared" si="113"/>
        <v>163.5</v>
      </c>
      <c r="AS226">
        <f t="shared" si="114"/>
        <v>147.9</v>
      </c>
      <c r="AT226">
        <f t="shared" si="115"/>
        <v>139.9</v>
      </c>
      <c r="AU226">
        <f t="shared" si="116"/>
        <v>146.69999999999999</v>
      </c>
      <c r="AV226">
        <f>IF(OR(U226="NA",U226="-"),AVERAGE(AV230:AV231),U226)</f>
        <v>149</v>
      </c>
      <c r="AW226">
        <f t="shared" si="118"/>
        <v>139.69999999999999</v>
      </c>
      <c r="AX226">
        <f t="shared" si="119"/>
        <v>143.80000000000001</v>
      </c>
      <c r="AY226">
        <f t="shared" si="120"/>
        <v>146.19999999999999</v>
      </c>
      <c r="AZ226">
        <f t="shared" si="121"/>
        <v>124.6</v>
      </c>
      <c r="BA226">
        <f t="shared" si="122"/>
        <v>137.69999999999999</v>
      </c>
      <c r="BB226">
        <f t="shared" si="123"/>
        <v>150.30000000000001</v>
      </c>
      <c r="BC226">
        <f t="shared" si="124"/>
        <v>133.4</v>
      </c>
      <c r="BD226">
        <f t="shared" si="125"/>
        <v>137.69999999999999</v>
      </c>
      <c r="BE226">
        <f t="shared" si="126"/>
        <v>140.4</v>
      </c>
      <c r="BF226">
        <f t="shared" si="127"/>
        <v>1762.9</v>
      </c>
      <c r="BG226">
        <f t="shared" si="128"/>
        <v>434.5</v>
      </c>
      <c r="BH226">
        <f t="shared" si="129"/>
        <v>279.60000000000002</v>
      </c>
      <c r="BI226">
        <f t="shared" si="130"/>
        <v>443.1</v>
      </c>
      <c r="BJ226">
        <f t="shared" si="131"/>
        <v>438.9</v>
      </c>
      <c r="BK226">
        <f t="shared" si="132"/>
        <v>264.29999999999995</v>
      </c>
    </row>
    <row r="227" spans="1:63" x14ac:dyDescent="0.35">
      <c r="A227" t="s">
        <v>30</v>
      </c>
      <c r="B227">
        <v>2019</v>
      </c>
      <c r="C227" t="s">
        <v>37</v>
      </c>
      <c r="D227" t="s">
        <v>32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32</v>
      </c>
      <c r="K227" t="s">
        <v>32</v>
      </c>
      <c r="L227" t="s">
        <v>32</v>
      </c>
      <c r="M227" t="s">
        <v>32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  <c r="AC227" t="s">
        <v>32</v>
      </c>
      <c r="AD227" t="s">
        <v>32</v>
      </c>
      <c r="AE227">
        <f>IF(D227="NA",AVERAGE(D221:D226),D227)</f>
        <v>138.03333333333333</v>
      </c>
      <c r="AF227">
        <f t="shared" ref="AF227:BE229" si="133">IF(E227="NA",AVERAGE(E221:E226),E227)</f>
        <v>152.21666666666667</v>
      </c>
      <c r="AG227">
        <f t="shared" si="133"/>
        <v>141.29999999999998</v>
      </c>
      <c r="AH227">
        <f t="shared" si="133"/>
        <v>142.18333333333331</v>
      </c>
      <c r="AI227">
        <f t="shared" si="133"/>
        <v>121.5</v>
      </c>
      <c r="AJ227">
        <f t="shared" si="133"/>
        <v>137.05000000000001</v>
      </c>
      <c r="AK227">
        <f t="shared" si="133"/>
        <v>131.99999999999997</v>
      </c>
      <c r="AL227">
        <f t="shared" si="133"/>
        <v>121.19999999999999</v>
      </c>
      <c r="AM227">
        <f t="shared" si="133"/>
        <v>109.23333333333333</v>
      </c>
      <c r="AN227">
        <f t="shared" si="133"/>
        <v>139.79999999999998</v>
      </c>
      <c r="AO227">
        <f t="shared" si="133"/>
        <v>133.15</v>
      </c>
      <c r="AP227">
        <f t="shared" si="133"/>
        <v>155.01666666666665</v>
      </c>
      <c r="AQ227">
        <f t="shared" si="133"/>
        <v>137.95000000000002</v>
      </c>
      <c r="AR227">
        <f t="shared" si="133"/>
        <v>163.79999999999998</v>
      </c>
      <c r="AS227">
        <f t="shared" si="133"/>
        <v>147.28333333333333</v>
      </c>
      <c r="AT227">
        <f t="shared" si="133"/>
        <v>138.96666666666664</v>
      </c>
      <c r="AU227">
        <f t="shared" si="133"/>
        <v>146.03333333333333</v>
      </c>
      <c r="AV227">
        <f t="shared" si="133"/>
        <v>148.75</v>
      </c>
      <c r="AW227">
        <f t="shared" si="133"/>
        <v>137.61666666666667</v>
      </c>
      <c r="AX227">
        <f t="shared" si="133"/>
        <v>143.5</v>
      </c>
      <c r="AY227">
        <f t="shared" si="133"/>
        <v>144.96666666666667</v>
      </c>
      <c r="AZ227">
        <f t="shared" si="133"/>
        <v>124.44999999999999</v>
      </c>
      <c r="BA227">
        <f t="shared" si="133"/>
        <v>137.86666666666667</v>
      </c>
      <c r="BB227">
        <f t="shared" si="133"/>
        <v>150.81666666666669</v>
      </c>
      <c r="BC227">
        <f t="shared" si="133"/>
        <v>133.65</v>
      </c>
      <c r="BD227">
        <f t="shared" si="133"/>
        <v>137.48333333333335</v>
      </c>
      <c r="BE227">
        <f t="shared" si="133"/>
        <v>140.1</v>
      </c>
      <c r="BF227">
        <f t="shared" ref="BF227:BF229" si="134">SUM(AE227:AQ227)</f>
        <v>1760.6333333333334</v>
      </c>
      <c r="BG227">
        <f t="shared" ref="BG227:BG229" si="135">SUM(AS227:AU227)</f>
        <v>432.2833333333333</v>
      </c>
      <c r="BH227">
        <f t="shared" ref="BH227:BH229" si="136">SUM(AY227+BC227)</f>
        <v>278.61666666666667</v>
      </c>
      <c r="BI227">
        <f t="shared" ref="BI227:BI229" si="137">BB227+AX227+AV227</f>
        <v>443.06666666666672</v>
      </c>
      <c r="BJ227">
        <f t="shared" ref="BJ227:BJ229" si="138">SUM(AR227+BA227+BD227)</f>
        <v>439.15</v>
      </c>
      <c r="BK227">
        <f t="shared" ref="BK227:BK229" si="139">AZ227+AW227</f>
        <v>262.06666666666666</v>
      </c>
    </row>
    <row r="228" spans="1:63" x14ac:dyDescent="0.35">
      <c r="A228" t="s">
        <v>33</v>
      </c>
      <c r="B228">
        <v>2019</v>
      </c>
      <c r="C228" t="s">
        <v>37</v>
      </c>
      <c r="D228" t="s">
        <v>32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  <c r="AC228" t="s">
        <v>32</v>
      </c>
      <c r="AD228" t="s">
        <v>32</v>
      </c>
      <c r="AE228">
        <f t="shared" ref="AE228:AE229" si="140">IF(D228="NA",AVERAGE(D222:D227),D228)</f>
        <v>138.27999999999997</v>
      </c>
      <c r="AF228">
        <f t="shared" si="133"/>
        <v>152.06</v>
      </c>
      <c r="AG228">
        <f t="shared" si="133"/>
        <v>141.74</v>
      </c>
      <c r="AH228">
        <f t="shared" si="133"/>
        <v>142.11999999999998</v>
      </c>
      <c r="AI228">
        <f t="shared" si="133"/>
        <v>120.97999999999999</v>
      </c>
      <c r="AJ228">
        <f t="shared" si="133"/>
        <v>137.30000000000001</v>
      </c>
      <c r="AK228">
        <f t="shared" si="133"/>
        <v>132.66</v>
      </c>
      <c r="AL228">
        <f t="shared" si="133"/>
        <v>121.13999999999999</v>
      </c>
      <c r="AM228">
        <f t="shared" si="133"/>
        <v>109.42</v>
      </c>
      <c r="AN228">
        <f t="shared" si="133"/>
        <v>139.91999999999999</v>
      </c>
      <c r="AO228">
        <f t="shared" si="133"/>
        <v>132.30000000000001</v>
      </c>
      <c r="AP228">
        <f t="shared" si="133"/>
        <v>154.77999999999997</v>
      </c>
      <c r="AQ228">
        <f t="shared" si="133"/>
        <v>138.1</v>
      </c>
      <c r="AR228">
        <f t="shared" si="133"/>
        <v>164</v>
      </c>
      <c r="AS228">
        <f t="shared" si="133"/>
        <v>146.63999999999999</v>
      </c>
      <c r="AT228">
        <f t="shared" si="133"/>
        <v>137.54</v>
      </c>
      <c r="AU228">
        <f t="shared" si="133"/>
        <v>145.26</v>
      </c>
      <c r="AV228">
        <f t="shared" si="133"/>
        <v>148.75</v>
      </c>
      <c r="AW228">
        <f t="shared" si="133"/>
        <v>136.08000000000001</v>
      </c>
      <c r="AX228">
        <f t="shared" si="133"/>
        <v>142.17999999999998</v>
      </c>
      <c r="AY228">
        <f t="shared" si="133"/>
        <v>143.98000000000002</v>
      </c>
      <c r="AZ228">
        <f t="shared" si="133"/>
        <v>123.5</v>
      </c>
      <c r="BA228">
        <f t="shared" si="133"/>
        <v>136.76</v>
      </c>
      <c r="BB228">
        <f t="shared" si="133"/>
        <v>149.87999999999997</v>
      </c>
      <c r="BC228">
        <f t="shared" si="133"/>
        <v>133.4</v>
      </c>
      <c r="BD228">
        <f t="shared" si="133"/>
        <v>136.54000000000002</v>
      </c>
      <c r="BE228">
        <f t="shared" si="133"/>
        <v>139.92000000000002</v>
      </c>
      <c r="BF228">
        <f t="shared" si="134"/>
        <v>1760.8</v>
      </c>
      <c r="BG228">
        <f t="shared" si="135"/>
        <v>429.43999999999994</v>
      </c>
      <c r="BH228">
        <f t="shared" si="136"/>
        <v>277.38</v>
      </c>
      <c r="BI228">
        <f t="shared" si="137"/>
        <v>440.80999999999995</v>
      </c>
      <c r="BJ228">
        <f t="shared" si="138"/>
        <v>437.3</v>
      </c>
      <c r="BK228">
        <f t="shared" si="139"/>
        <v>259.58000000000004</v>
      </c>
    </row>
    <row r="229" spans="1:63" x14ac:dyDescent="0.35">
      <c r="A229" t="s">
        <v>34</v>
      </c>
      <c r="B229">
        <v>2019</v>
      </c>
      <c r="C229" t="s">
        <v>37</v>
      </c>
      <c r="D229" t="s">
        <v>32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  <c r="AC229" t="s">
        <v>32</v>
      </c>
      <c r="AD229" t="s">
        <v>32</v>
      </c>
      <c r="AE229">
        <f t="shared" si="140"/>
        <v>138</v>
      </c>
      <c r="AF229">
        <f t="shared" si="133"/>
        <v>152.55000000000001</v>
      </c>
      <c r="AG229">
        <f t="shared" si="133"/>
        <v>140.85000000000002</v>
      </c>
      <c r="AH229">
        <f t="shared" si="133"/>
        <v>142.22500000000002</v>
      </c>
      <c r="AI229">
        <f t="shared" si="133"/>
        <v>121.625</v>
      </c>
      <c r="AJ229">
        <f t="shared" si="133"/>
        <v>137.375</v>
      </c>
      <c r="AK229">
        <f t="shared" si="133"/>
        <v>132.92499999999998</v>
      </c>
      <c r="AL229">
        <f t="shared" si="133"/>
        <v>121.45</v>
      </c>
      <c r="AM229">
        <f t="shared" si="133"/>
        <v>109.17500000000001</v>
      </c>
      <c r="AN229">
        <f t="shared" si="133"/>
        <v>139.69999999999999</v>
      </c>
      <c r="AO229">
        <f t="shared" si="133"/>
        <v>133.30000000000001</v>
      </c>
      <c r="AP229">
        <f t="shared" si="133"/>
        <v>155.10000000000002</v>
      </c>
      <c r="AQ229">
        <f t="shared" si="133"/>
        <v>138.125</v>
      </c>
      <c r="AR229">
        <f t="shared" si="133"/>
        <v>163.77500000000001</v>
      </c>
      <c r="AS229">
        <f t="shared" si="133"/>
        <v>147.47499999999999</v>
      </c>
      <c r="AT229">
        <f t="shared" si="133"/>
        <v>139.22499999999999</v>
      </c>
      <c r="AU229">
        <f t="shared" si="133"/>
        <v>146.22500000000002</v>
      </c>
      <c r="AV229">
        <f t="shared" si="133"/>
        <v>148.83333333333334</v>
      </c>
      <c r="AW229">
        <f t="shared" si="133"/>
        <v>138.32499999999999</v>
      </c>
      <c r="AX229">
        <f t="shared" si="133"/>
        <v>143.57499999999999</v>
      </c>
      <c r="AY229">
        <f t="shared" si="133"/>
        <v>145.35</v>
      </c>
      <c r="AZ229">
        <f t="shared" si="133"/>
        <v>124.57500000000002</v>
      </c>
      <c r="BA229">
        <f t="shared" si="133"/>
        <v>137.89999999999998</v>
      </c>
      <c r="BB229">
        <f t="shared" si="133"/>
        <v>150.69999999999999</v>
      </c>
      <c r="BC229">
        <f t="shared" si="133"/>
        <v>133.5</v>
      </c>
      <c r="BD229">
        <f t="shared" si="133"/>
        <v>137.57499999999999</v>
      </c>
      <c r="BE229">
        <f t="shared" si="133"/>
        <v>140.25</v>
      </c>
      <c r="BF229">
        <f t="shared" si="134"/>
        <v>1762.4</v>
      </c>
      <c r="BG229">
        <f t="shared" si="135"/>
        <v>432.92500000000001</v>
      </c>
      <c r="BH229">
        <f t="shared" si="136"/>
        <v>278.85000000000002</v>
      </c>
      <c r="BI229">
        <f t="shared" si="137"/>
        <v>443.10833333333335</v>
      </c>
      <c r="BJ229">
        <f t="shared" si="138"/>
        <v>439.24999999999994</v>
      </c>
      <c r="BK229">
        <f t="shared" si="139"/>
        <v>262.89999999999998</v>
      </c>
    </row>
    <row r="230" spans="1:63" x14ac:dyDescent="0.35">
      <c r="A230" t="s">
        <v>30</v>
      </c>
      <c r="B230">
        <v>2019</v>
      </c>
      <c r="C230" t="s">
        <v>38</v>
      </c>
      <c r="D230">
        <v>137.4</v>
      </c>
      <c r="E230">
        <v>159.5</v>
      </c>
      <c r="F230">
        <v>134.5</v>
      </c>
      <c r="G230">
        <v>142.6</v>
      </c>
      <c r="H230">
        <v>124</v>
      </c>
      <c r="I230">
        <v>143.69999999999999</v>
      </c>
      <c r="J230">
        <v>133.4</v>
      </c>
      <c r="K230">
        <v>125.1</v>
      </c>
      <c r="L230">
        <v>109.3</v>
      </c>
      <c r="M230">
        <v>139.30000000000001</v>
      </c>
      <c r="N230">
        <v>137.69999999999999</v>
      </c>
      <c r="O230">
        <v>156.4</v>
      </c>
      <c r="P230">
        <v>139.19999999999999</v>
      </c>
      <c r="Q230">
        <v>163.30000000000001</v>
      </c>
      <c r="R230">
        <v>151.30000000000001</v>
      </c>
      <c r="S230">
        <v>146.6</v>
      </c>
      <c r="T230">
        <v>150.69999999999999</v>
      </c>
      <c r="U230" t="s">
        <v>32</v>
      </c>
      <c r="V230">
        <v>146.9</v>
      </c>
      <c r="W230">
        <v>149.5</v>
      </c>
      <c r="X230">
        <v>151.30000000000001</v>
      </c>
      <c r="Y230">
        <v>130.19999999999999</v>
      </c>
      <c r="Z230">
        <v>145.9</v>
      </c>
      <c r="AA230">
        <v>156.69999999999999</v>
      </c>
      <c r="AB230">
        <v>133.9</v>
      </c>
      <c r="AC230">
        <v>142.9</v>
      </c>
      <c r="AD230">
        <v>142.4</v>
      </c>
      <c r="AE230">
        <f t="shared" si="100"/>
        <v>137.4</v>
      </c>
      <c r="AF230">
        <f t="shared" si="101"/>
        <v>159.5</v>
      </c>
      <c r="AG230">
        <f t="shared" si="102"/>
        <v>134.5</v>
      </c>
      <c r="AH230">
        <f t="shared" si="103"/>
        <v>142.6</v>
      </c>
      <c r="AI230">
        <f t="shared" si="104"/>
        <v>124</v>
      </c>
      <c r="AJ230">
        <f t="shared" si="105"/>
        <v>143.69999999999999</v>
      </c>
      <c r="AK230">
        <f t="shared" si="106"/>
        <v>133.4</v>
      </c>
      <c r="AL230">
        <f t="shared" si="107"/>
        <v>125.1</v>
      </c>
      <c r="AM230">
        <f t="shared" si="108"/>
        <v>109.3</v>
      </c>
      <c r="AN230">
        <f t="shared" si="109"/>
        <v>139.30000000000001</v>
      </c>
      <c r="AO230">
        <f t="shared" si="110"/>
        <v>137.69999999999999</v>
      </c>
      <c r="AP230">
        <f t="shared" si="111"/>
        <v>156.4</v>
      </c>
      <c r="AQ230">
        <f t="shared" si="112"/>
        <v>139.19999999999999</v>
      </c>
      <c r="AR230">
        <f t="shared" si="113"/>
        <v>163.30000000000001</v>
      </c>
      <c r="AS230">
        <f t="shared" si="114"/>
        <v>151.30000000000001</v>
      </c>
      <c r="AT230">
        <f t="shared" si="115"/>
        <v>146.6</v>
      </c>
      <c r="AU230">
        <f t="shared" si="116"/>
        <v>150.69999999999999</v>
      </c>
      <c r="AV230">
        <f t="shared" si="117"/>
        <v>150.1</v>
      </c>
      <c r="AW230">
        <f t="shared" si="118"/>
        <v>146.9</v>
      </c>
      <c r="AX230">
        <f t="shared" si="119"/>
        <v>149.5</v>
      </c>
      <c r="AY230">
        <f t="shared" si="120"/>
        <v>151.30000000000001</v>
      </c>
      <c r="AZ230">
        <f t="shared" si="121"/>
        <v>130.19999999999999</v>
      </c>
      <c r="BA230">
        <f t="shared" si="122"/>
        <v>145.9</v>
      </c>
      <c r="BB230">
        <f t="shared" si="123"/>
        <v>156.69999999999999</v>
      </c>
      <c r="BC230">
        <f t="shared" si="124"/>
        <v>133.9</v>
      </c>
      <c r="BD230">
        <f t="shared" si="125"/>
        <v>142.9</v>
      </c>
      <c r="BE230">
        <f t="shared" si="126"/>
        <v>142.4</v>
      </c>
      <c r="BF230">
        <f t="shared" si="127"/>
        <v>1782.1000000000001</v>
      </c>
      <c r="BG230">
        <f t="shared" si="128"/>
        <v>448.59999999999997</v>
      </c>
      <c r="BH230">
        <f t="shared" si="129"/>
        <v>285.20000000000005</v>
      </c>
      <c r="BI230">
        <f t="shared" si="130"/>
        <v>456.29999999999995</v>
      </c>
      <c r="BJ230">
        <f t="shared" si="131"/>
        <v>452.1</v>
      </c>
      <c r="BK230">
        <f t="shared" si="132"/>
        <v>277.10000000000002</v>
      </c>
    </row>
    <row r="231" spans="1:63" x14ac:dyDescent="0.35">
      <c r="A231" t="s">
        <v>33</v>
      </c>
      <c r="B231">
        <v>2019</v>
      </c>
      <c r="C231" t="s">
        <v>38</v>
      </c>
      <c r="D231">
        <v>140.4</v>
      </c>
      <c r="E231">
        <v>156.69999999999999</v>
      </c>
      <c r="F231">
        <v>138.30000000000001</v>
      </c>
      <c r="G231">
        <v>142.4</v>
      </c>
      <c r="H231">
        <v>118.6</v>
      </c>
      <c r="I231">
        <v>149.69999999999999</v>
      </c>
      <c r="J231">
        <v>161.6</v>
      </c>
      <c r="K231">
        <v>124.4</v>
      </c>
      <c r="L231">
        <v>111.2</v>
      </c>
      <c r="M231">
        <v>141</v>
      </c>
      <c r="N231">
        <v>128.9</v>
      </c>
      <c r="O231">
        <v>154.5</v>
      </c>
      <c r="P231">
        <v>143.80000000000001</v>
      </c>
      <c r="Q231">
        <v>166.2</v>
      </c>
      <c r="R231">
        <v>144</v>
      </c>
      <c r="S231">
        <v>131.69999999999999</v>
      </c>
      <c r="T231">
        <v>142.19999999999999</v>
      </c>
      <c r="U231">
        <v>150.1</v>
      </c>
      <c r="V231">
        <v>129.4</v>
      </c>
      <c r="W231">
        <v>137.19999999999999</v>
      </c>
      <c r="X231">
        <v>139.80000000000001</v>
      </c>
      <c r="Y231">
        <v>120.1</v>
      </c>
      <c r="Z231">
        <v>134</v>
      </c>
      <c r="AA231">
        <v>148</v>
      </c>
      <c r="AB231">
        <v>132.6</v>
      </c>
      <c r="AC231">
        <v>133.30000000000001</v>
      </c>
      <c r="AD231">
        <v>141.5</v>
      </c>
      <c r="AE231">
        <f t="shared" si="100"/>
        <v>140.4</v>
      </c>
      <c r="AF231">
        <f t="shared" si="101"/>
        <v>156.69999999999999</v>
      </c>
      <c r="AG231">
        <f t="shared" si="102"/>
        <v>138.30000000000001</v>
      </c>
      <c r="AH231">
        <f t="shared" si="103"/>
        <v>142.4</v>
      </c>
      <c r="AI231">
        <f t="shared" si="104"/>
        <v>118.6</v>
      </c>
      <c r="AJ231">
        <f t="shared" si="105"/>
        <v>149.69999999999999</v>
      </c>
      <c r="AK231">
        <f t="shared" si="106"/>
        <v>161.6</v>
      </c>
      <c r="AL231">
        <f t="shared" si="107"/>
        <v>124.4</v>
      </c>
      <c r="AM231">
        <f t="shared" si="108"/>
        <v>111.2</v>
      </c>
      <c r="AN231">
        <f t="shared" si="109"/>
        <v>141</v>
      </c>
      <c r="AO231">
        <f t="shared" si="110"/>
        <v>128.9</v>
      </c>
      <c r="AP231">
        <f t="shared" si="111"/>
        <v>154.5</v>
      </c>
      <c r="AQ231">
        <f t="shared" si="112"/>
        <v>143.80000000000001</v>
      </c>
      <c r="AR231">
        <f t="shared" si="113"/>
        <v>166.2</v>
      </c>
      <c r="AS231">
        <f t="shared" si="114"/>
        <v>144</v>
      </c>
      <c r="AT231">
        <f t="shared" si="115"/>
        <v>131.69999999999999</v>
      </c>
      <c r="AU231">
        <f t="shared" si="116"/>
        <v>142.19999999999999</v>
      </c>
      <c r="AV231">
        <f t="shared" si="117"/>
        <v>150.1</v>
      </c>
      <c r="AW231">
        <f t="shared" si="118"/>
        <v>129.4</v>
      </c>
      <c r="AX231">
        <f t="shared" si="119"/>
        <v>137.19999999999999</v>
      </c>
      <c r="AY231">
        <f t="shared" si="120"/>
        <v>139.80000000000001</v>
      </c>
      <c r="AZ231">
        <f t="shared" si="121"/>
        <v>120.1</v>
      </c>
      <c r="BA231">
        <f t="shared" si="122"/>
        <v>134</v>
      </c>
      <c r="BB231">
        <f t="shared" si="123"/>
        <v>148</v>
      </c>
      <c r="BC231">
        <f t="shared" si="124"/>
        <v>132.6</v>
      </c>
      <c r="BD231">
        <f t="shared" si="125"/>
        <v>133.30000000000001</v>
      </c>
      <c r="BE231">
        <f t="shared" si="126"/>
        <v>141.5</v>
      </c>
      <c r="BF231">
        <f t="shared" si="127"/>
        <v>1811.5000000000002</v>
      </c>
      <c r="BG231">
        <f t="shared" si="128"/>
        <v>417.9</v>
      </c>
      <c r="BH231">
        <f t="shared" si="129"/>
        <v>272.39999999999998</v>
      </c>
      <c r="BI231">
        <f t="shared" si="130"/>
        <v>435.29999999999995</v>
      </c>
      <c r="BJ231">
        <f t="shared" si="131"/>
        <v>433.5</v>
      </c>
      <c r="BK231">
        <f t="shared" si="132"/>
        <v>249.5</v>
      </c>
    </row>
    <row r="232" spans="1:63" x14ac:dyDescent="0.35">
      <c r="A232" t="s">
        <v>34</v>
      </c>
      <c r="B232">
        <v>2019</v>
      </c>
      <c r="C232" t="s">
        <v>38</v>
      </c>
      <c r="D232">
        <v>138.30000000000001</v>
      </c>
      <c r="E232">
        <v>158.5</v>
      </c>
      <c r="F232">
        <v>136</v>
      </c>
      <c r="G232">
        <v>142.5</v>
      </c>
      <c r="H232">
        <v>122</v>
      </c>
      <c r="I232">
        <v>146.5</v>
      </c>
      <c r="J232">
        <v>143</v>
      </c>
      <c r="K232">
        <v>124.9</v>
      </c>
      <c r="L232">
        <v>109.9</v>
      </c>
      <c r="M232">
        <v>139.9</v>
      </c>
      <c r="N232">
        <v>134</v>
      </c>
      <c r="O232">
        <v>155.5</v>
      </c>
      <c r="P232">
        <v>140.9</v>
      </c>
      <c r="Q232">
        <v>164.1</v>
      </c>
      <c r="R232">
        <v>148.4</v>
      </c>
      <c r="S232">
        <v>140.4</v>
      </c>
      <c r="T232">
        <v>147.30000000000001</v>
      </c>
      <c r="U232">
        <v>150.1</v>
      </c>
      <c r="V232">
        <v>140.30000000000001</v>
      </c>
      <c r="W232">
        <v>143.69999999999999</v>
      </c>
      <c r="X232">
        <v>146.9</v>
      </c>
      <c r="Y232">
        <v>124.9</v>
      </c>
      <c r="Z232">
        <v>139.19999999999999</v>
      </c>
      <c r="AA232">
        <v>151.6</v>
      </c>
      <c r="AB232">
        <v>133.4</v>
      </c>
      <c r="AC232">
        <v>138.19999999999999</v>
      </c>
      <c r="AD232">
        <v>142</v>
      </c>
      <c r="AE232">
        <f t="shared" si="100"/>
        <v>138.30000000000001</v>
      </c>
      <c r="AF232">
        <f t="shared" si="101"/>
        <v>158.5</v>
      </c>
      <c r="AG232">
        <f t="shared" si="102"/>
        <v>136</v>
      </c>
      <c r="AH232">
        <f t="shared" si="103"/>
        <v>142.5</v>
      </c>
      <c r="AI232">
        <f t="shared" si="104"/>
        <v>122</v>
      </c>
      <c r="AJ232">
        <f t="shared" si="105"/>
        <v>146.5</v>
      </c>
      <c r="AK232">
        <f t="shared" si="106"/>
        <v>143</v>
      </c>
      <c r="AL232">
        <f t="shared" si="107"/>
        <v>124.9</v>
      </c>
      <c r="AM232">
        <f t="shared" si="108"/>
        <v>109.9</v>
      </c>
      <c r="AN232">
        <f t="shared" si="109"/>
        <v>139.9</v>
      </c>
      <c r="AO232">
        <f t="shared" si="110"/>
        <v>134</v>
      </c>
      <c r="AP232">
        <f t="shared" si="111"/>
        <v>155.5</v>
      </c>
      <c r="AQ232">
        <f t="shared" si="112"/>
        <v>140.9</v>
      </c>
      <c r="AR232">
        <f t="shared" si="113"/>
        <v>164.1</v>
      </c>
      <c r="AS232">
        <f t="shared" si="114"/>
        <v>148.4</v>
      </c>
      <c r="AT232">
        <f t="shared" si="115"/>
        <v>140.4</v>
      </c>
      <c r="AU232">
        <f t="shared" si="116"/>
        <v>147.30000000000001</v>
      </c>
      <c r="AV232">
        <f t="shared" si="117"/>
        <v>150.1</v>
      </c>
      <c r="AW232">
        <f t="shared" si="118"/>
        <v>140.30000000000001</v>
      </c>
      <c r="AX232">
        <f t="shared" si="119"/>
        <v>143.69999999999999</v>
      </c>
      <c r="AY232">
        <f t="shared" si="120"/>
        <v>146.9</v>
      </c>
      <c r="AZ232">
        <f t="shared" si="121"/>
        <v>124.9</v>
      </c>
      <c r="BA232">
        <f t="shared" si="122"/>
        <v>139.19999999999999</v>
      </c>
      <c r="BB232">
        <f t="shared" si="123"/>
        <v>151.6</v>
      </c>
      <c r="BC232">
        <f t="shared" si="124"/>
        <v>133.4</v>
      </c>
      <c r="BD232">
        <f t="shared" si="125"/>
        <v>138.19999999999999</v>
      </c>
      <c r="BE232">
        <f t="shared" si="126"/>
        <v>142</v>
      </c>
      <c r="BF232">
        <f t="shared" si="127"/>
        <v>1791.9000000000003</v>
      </c>
      <c r="BG232">
        <f t="shared" si="128"/>
        <v>436.1</v>
      </c>
      <c r="BH232">
        <f t="shared" si="129"/>
        <v>280.3</v>
      </c>
      <c r="BI232">
        <f t="shared" si="130"/>
        <v>445.4</v>
      </c>
      <c r="BJ232">
        <f t="shared" si="131"/>
        <v>441.49999999999994</v>
      </c>
      <c r="BK232">
        <f t="shared" si="132"/>
        <v>265.20000000000005</v>
      </c>
    </row>
    <row r="233" spans="1:63" x14ac:dyDescent="0.35">
      <c r="A233" t="s">
        <v>30</v>
      </c>
      <c r="B233">
        <v>2019</v>
      </c>
      <c r="C233" t="s">
        <v>39</v>
      </c>
      <c r="D233">
        <v>137.80000000000001</v>
      </c>
      <c r="E233">
        <v>163.5</v>
      </c>
      <c r="F233">
        <v>136.19999999999999</v>
      </c>
      <c r="G233">
        <v>143.19999999999999</v>
      </c>
      <c r="H233">
        <v>124.3</v>
      </c>
      <c r="I233">
        <v>143.30000000000001</v>
      </c>
      <c r="J233">
        <v>140.6</v>
      </c>
      <c r="K233">
        <v>128.69999999999999</v>
      </c>
      <c r="L233">
        <v>110.6</v>
      </c>
      <c r="M233">
        <v>140.4</v>
      </c>
      <c r="N233">
        <v>138</v>
      </c>
      <c r="O233">
        <v>156.6</v>
      </c>
      <c r="P233">
        <v>141</v>
      </c>
      <c r="Q233">
        <v>164.2</v>
      </c>
      <c r="R233">
        <v>151.4</v>
      </c>
      <c r="S233">
        <v>146.5</v>
      </c>
      <c r="T233">
        <v>150.69999999999999</v>
      </c>
      <c r="U233" t="s">
        <v>32</v>
      </c>
      <c r="V233">
        <v>147.80000000000001</v>
      </c>
      <c r="W233">
        <v>149.6</v>
      </c>
      <c r="X233">
        <v>151.69999999999999</v>
      </c>
      <c r="Y233">
        <v>130.19999999999999</v>
      </c>
      <c r="Z233">
        <v>146.4</v>
      </c>
      <c r="AA233">
        <v>157.69999999999999</v>
      </c>
      <c r="AB233">
        <v>134.80000000000001</v>
      </c>
      <c r="AC233">
        <v>143.30000000000001</v>
      </c>
      <c r="AD233">
        <v>143.6</v>
      </c>
      <c r="AE233">
        <f t="shared" si="100"/>
        <v>137.80000000000001</v>
      </c>
      <c r="AF233">
        <f t="shared" si="101"/>
        <v>163.5</v>
      </c>
      <c r="AG233">
        <f t="shared" si="102"/>
        <v>136.19999999999999</v>
      </c>
      <c r="AH233">
        <f t="shared" si="103"/>
        <v>143.19999999999999</v>
      </c>
      <c r="AI233">
        <f t="shared" si="104"/>
        <v>124.3</v>
      </c>
      <c r="AJ233">
        <f t="shared" si="105"/>
        <v>143.30000000000001</v>
      </c>
      <c r="AK233">
        <f t="shared" si="106"/>
        <v>140.6</v>
      </c>
      <c r="AL233">
        <f t="shared" si="107"/>
        <v>128.69999999999999</v>
      </c>
      <c r="AM233">
        <f t="shared" si="108"/>
        <v>110.6</v>
      </c>
      <c r="AN233">
        <f t="shared" si="109"/>
        <v>140.4</v>
      </c>
      <c r="AO233">
        <f t="shared" si="110"/>
        <v>138</v>
      </c>
      <c r="AP233">
        <f t="shared" si="111"/>
        <v>156.6</v>
      </c>
      <c r="AQ233">
        <f t="shared" si="112"/>
        <v>141</v>
      </c>
      <c r="AR233">
        <f t="shared" si="113"/>
        <v>164.2</v>
      </c>
      <c r="AS233">
        <f t="shared" si="114"/>
        <v>151.4</v>
      </c>
      <c r="AT233">
        <f t="shared" si="115"/>
        <v>146.5</v>
      </c>
      <c r="AU233">
        <f t="shared" si="116"/>
        <v>150.69999999999999</v>
      </c>
      <c r="AV233">
        <f t="shared" si="117"/>
        <v>149.4</v>
      </c>
      <c r="AW233">
        <f t="shared" si="118"/>
        <v>147.80000000000001</v>
      </c>
      <c r="AX233">
        <f t="shared" si="119"/>
        <v>149.6</v>
      </c>
      <c r="AY233">
        <f t="shared" si="120"/>
        <v>151.69999999999999</v>
      </c>
      <c r="AZ233">
        <f t="shared" si="121"/>
        <v>130.19999999999999</v>
      </c>
      <c r="BA233">
        <f t="shared" si="122"/>
        <v>146.4</v>
      </c>
      <c r="BB233">
        <f t="shared" si="123"/>
        <v>157.69999999999999</v>
      </c>
      <c r="BC233">
        <f t="shared" si="124"/>
        <v>134.80000000000001</v>
      </c>
      <c r="BD233">
        <f t="shared" si="125"/>
        <v>143.30000000000001</v>
      </c>
      <c r="BE233">
        <f t="shared" si="126"/>
        <v>143.6</v>
      </c>
      <c r="BF233">
        <f t="shared" si="127"/>
        <v>1804.1999999999998</v>
      </c>
      <c r="BG233">
        <f t="shared" si="128"/>
        <v>448.59999999999997</v>
      </c>
      <c r="BH233">
        <f t="shared" si="129"/>
        <v>286.5</v>
      </c>
      <c r="BI233">
        <f t="shared" si="130"/>
        <v>456.69999999999993</v>
      </c>
      <c r="BJ233">
        <f t="shared" si="131"/>
        <v>453.90000000000003</v>
      </c>
      <c r="BK233">
        <f t="shared" si="132"/>
        <v>278</v>
      </c>
    </row>
    <row r="234" spans="1:63" x14ac:dyDescent="0.35">
      <c r="A234" t="s">
        <v>33</v>
      </c>
      <c r="B234">
        <v>2019</v>
      </c>
      <c r="C234" t="s">
        <v>39</v>
      </c>
      <c r="D234">
        <v>140.69999999999999</v>
      </c>
      <c r="E234">
        <v>159.6</v>
      </c>
      <c r="F234">
        <v>140.4</v>
      </c>
      <c r="G234">
        <v>143.4</v>
      </c>
      <c r="H234">
        <v>118.6</v>
      </c>
      <c r="I234">
        <v>150.9</v>
      </c>
      <c r="J234">
        <v>169.8</v>
      </c>
      <c r="K234">
        <v>127.4</v>
      </c>
      <c r="L234">
        <v>111.8</v>
      </c>
      <c r="M234">
        <v>141</v>
      </c>
      <c r="N234">
        <v>129</v>
      </c>
      <c r="O234">
        <v>155.1</v>
      </c>
      <c r="P234">
        <v>145.6</v>
      </c>
      <c r="Q234">
        <v>166.7</v>
      </c>
      <c r="R234">
        <v>144.30000000000001</v>
      </c>
      <c r="S234">
        <v>131.69999999999999</v>
      </c>
      <c r="T234">
        <v>142.4</v>
      </c>
      <c r="U234">
        <v>149.4</v>
      </c>
      <c r="V234">
        <v>130.5</v>
      </c>
      <c r="W234">
        <v>137.4</v>
      </c>
      <c r="X234">
        <v>140.30000000000001</v>
      </c>
      <c r="Y234">
        <v>119.6</v>
      </c>
      <c r="Z234">
        <v>134.30000000000001</v>
      </c>
      <c r="AA234">
        <v>148.9</v>
      </c>
      <c r="AB234">
        <v>133.69999999999999</v>
      </c>
      <c r="AC234">
        <v>133.6</v>
      </c>
      <c r="AD234">
        <v>142.1</v>
      </c>
      <c r="AE234">
        <f t="shared" si="100"/>
        <v>140.69999999999999</v>
      </c>
      <c r="AF234">
        <f t="shared" si="101"/>
        <v>159.6</v>
      </c>
      <c r="AG234">
        <f t="shared" si="102"/>
        <v>140.4</v>
      </c>
      <c r="AH234">
        <f t="shared" si="103"/>
        <v>143.4</v>
      </c>
      <c r="AI234">
        <f t="shared" si="104"/>
        <v>118.6</v>
      </c>
      <c r="AJ234">
        <f t="shared" si="105"/>
        <v>150.9</v>
      </c>
      <c r="AK234">
        <f t="shared" si="106"/>
        <v>169.8</v>
      </c>
      <c r="AL234">
        <f t="shared" si="107"/>
        <v>127.4</v>
      </c>
      <c r="AM234">
        <f t="shared" si="108"/>
        <v>111.8</v>
      </c>
      <c r="AN234">
        <f t="shared" si="109"/>
        <v>141</v>
      </c>
      <c r="AO234">
        <f t="shared" si="110"/>
        <v>129</v>
      </c>
      <c r="AP234">
        <f t="shared" si="111"/>
        <v>155.1</v>
      </c>
      <c r="AQ234">
        <f t="shared" si="112"/>
        <v>145.6</v>
      </c>
      <c r="AR234">
        <f t="shared" si="113"/>
        <v>166.7</v>
      </c>
      <c r="AS234">
        <f t="shared" si="114"/>
        <v>144.30000000000001</v>
      </c>
      <c r="AT234">
        <f t="shared" si="115"/>
        <v>131.69999999999999</v>
      </c>
      <c r="AU234">
        <f t="shared" si="116"/>
        <v>142.4</v>
      </c>
      <c r="AV234">
        <f t="shared" si="117"/>
        <v>149.4</v>
      </c>
      <c r="AW234">
        <f t="shared" si="118"/>
        <v>130.5</v>
      </c>
      <c r="AX234">
        <f t="shared" si="119"/>
        <v>137.4</v>
      </c>
      <c r="AY234">
        <f t="shared" si="120"/>
        <v>140.30000000000001</v>
      </c>
      <c r="AZ234">
        <f t="shared" si="121"/>
        <v>119.6</v>
      </c>
      <c r="BA234">
        <f t="shared" si="122"/>
        <v>134.30000000000001</v>
      </c>
      <c r="BB234">
        <f t="shared" si="123"/>
        <v>148.9</v>
      </c>
      <c r="BC234">
        <f t="shared" si="124"/>
        <v>133.69999999999999</v>
      </c>
      <c r="BD234">
        <f t="shared" si="125"/>
        <v>133.6</v>
      </c>
      <c r="BE234">
        <f t="shared" si="126"/>
        <v>142.1</v>
      </c>
      <c r="BF234">
        <f t="shared" si="127"/>
        <v>1833.2999999999997</v>
      </c>
      <c r="BG234">
        <f t="shared" si="128"/>
        <v>418.4</v>
      </c>
      <c r="BH234">
        <f t="shared" si="129"/>
        <v>274</v>
      </c>
      <c r="BI234">
        <f t="shared" si="130"/>
        <v>435.70000000000005</v>
      </c>
      <c r="BJ234">
        <f t="shared" si="131"/>
        <v>434.6</v>
      </c>
      <c r="BK234">
        <f t="shared" si="132"/>
        <v>250.1</v>
      </c>
    </row>
    <row r="235" spans="1:63" x14ac:dyDescent="0.35">
      <c r="A235" t="s">
        <v>34</v>
      </c>
      <c r="B235">
        <v>2019</v>
      </c>
      <c r="C235" t="s">
        <v>39</v>
      </c>
      <c r="D235">
        <v>138.69999999999999</v>
      </c>
      <c r="E235">
        <v>162.1</v>
      </c>
      <c r="F235">
        <v>137.80000000000001</v>
      </c>
      <c r="G235">
        <v>143.30000000000001</v>
      </c>
      <c r="H235">
        <v>122.2</v>
      </c>
      <c r="I235">
        <v>146.80000000000001</v>
      </c>
      <c r="J235">
        <v>150.5</v>
      </c>
      <c r="K235">
        <v>128.30000000000001</v>
      </c>
      <c r="L235">
        <v>111</v>
      </c>
      <c r="M235">
        <v>140.6</v>
      </c>
      <c r="N235">
        <v>134.19999999999999</v>
      </c>
      <c r="O235">
        <v>155.9</v>
      </c>
      <c r="P235">
        <v>142.69999999999999</v>
      </c>
      <c r="Q235">
        <v>164.9</v>
      </c>
      <c r="R235">
        <v>148.6</v>
      </c>
      <c r="S235">
        <v>140.4</v>
      </c>
      <c r="T235">
        <v>147.4</v>
      </c>
      <c r="U235">
        <v>149.4</v>
      </c>
      <c r="V235">
        <v>141.19999999999999</v>
      </c>
      <c r="W235">
        <v>143.80000000000001</v>
      </c>
      <c r="X235">
        <v>147.4</v>
      </c>
      <c r="Y235">
        <v>124.6</v>
      </c>
      <c r="Z235">
        <v>139.6</v>
      </c>
      <c r="AA235">
        <v>152.5</v>
      </c>
      <c r="AB235">
        <v>134.30000000000001</v>
      </c>
      <c r="AC235">
        <v>138.6</v>
      </c>
      <c r="AD235">
        <v>142.9</v>
      </c>
      <c r="AE235">
        <f t="shared" si="100"/>
        <v>138.69999999999999</v>
      </c>
      <c r="AF235">
        <f t="shared" si="101"/>
        <v>162.1</v>
      </c>
      <c r="AG235">
        <f t="shared" si="102"/>
        <v>137.80000000000001</v>
      </c>
      <c r="AH235">
        <f t="shared" si="103"/>
        <v>143.30000000000001</v>
      </c>
      <c r="AI235">
        <f t="shared" si="104"/>
        <v>122.2</v>
      </c>
      <c r="AJ235">
        <f t="shared" si="105"/>
        <v>146.80000000000001</v>
      </c>
      <c r="AK235">
        <f t="shared" si="106"/>
        <v>150.5</v>
      </c>
      <c r="AL235">
        <f t="shared" si="107"/>
        <v>128.30000000000001</v>
      </c>
      <c r="AM235">
        <f t="shared" si="108"/>
        <v>111</v>
      </c>
      <c r="AN235">
        <f t="shared" si="109"/>
        <v>140.6</v>
      </c>
      <c r="AO235">
        <f t="shared" si="110"/>
        <v>134.19999999999999</v>
      </c>
      <c r="AP235">
        <f t="shared" si="111"/>
        <v>155.9</v>
      </c>
      <c r="AQ235">
        <f t="shared" si="112"/>
        <v>142.69999999999999</v>
      </c>
      <c r="AR235">
        <f t="shared" si="113"/>
        <v>164.9</v>
      </c>
      <c r="AS235">
        <f t="shared" si="114"/>
        <v>148.6</v>
      </c>
      <c r="AT235">
        <f t="shared" si="115"/>
        <v>140.4</v>
      </c>
      <c r="AU235">
        <f t="shared" si="116"/>
        <v>147.4</v>
      </c>
      <c r="AV235">
        <f t="shared" si="117"/>
        <v>149.4</v>
      </c>
      <c r="AW235">
        <f t="shared" si="118"/>
        <v>141.19999999999999</v>
      </c>
      <c r="AX235">
        <f t="shared" si="119"/>
        <v>143.80000000000001</v>
      </c>
      <c r="AY235">
        <f t="shared" si="120"/>
        <v>147.4</v>
      </c>
      <c r="AZ235">
        <f t="shared" si="121"/>
        <v>124.6</v>
      </c>
      <c r="BA235">
        <f t="shared" si="122"/>
        <v>139.6</v>
      </c>
      <c r="BB235">
        <f t="shared" si="123"/>
        <v>152.5</v>
      </c>
      <c r="BC235">
        <f t="shared" si="124"/>
        <v>134.30000000000001</v>
      </c>
      <c r="BD235">
        <f t="shared" si="125"/>
        <v>138.6</v>
      </c>
      <c r="BE235">
        <f t="shared" si="126"/>
        <v>142.9</v>
      </c>
      <c r="BF235">
        <f t="shared" si="127"/>
        <v>1814.1000000000001</v>
      </c>
      <c r="BG235">
        <f t="shared" si="128"/>
        <v>436.4</v>
      </c>
      <c r="BH235">
        <f t="shared" si="129"/>
        <v>281.70000000000005</v>
      </c>
      <c r="BI235">
        <f t="shared" si="130"/>
        <v>445.70000000000005</v>
      </c>
      <c r="BJ235">
        <f t="shared" si="131"/>
        <v>443.1</v>
      </c>
      <c r="BK235">
        <f t="shared" si="132"/>
        <v>265.79999999999995</v>
      </c>
    </row>
    <row r="236" spans="1:63" x14ac:dyDescent="0.35">
      <c r="A236" t="s">
        <v>30</v>
      </c>
      <c r="B236">
        <v>2019</v>
      </c>
      <c r="C236" t="s">
        <v>40</v>
      </c>
      <c r="D236">
        <v>138.4</v>
      </c>
      <c r="E236">
        <v>164</v>
      </c>
      <c r="F236">
        <v>138.4</v>
      </c>
      <c r="G236">
        <v>143.9</v>
      </c>
      <c r="H236">
        <v>124.4</v>
      </c>
      <c r="I236">
        <v>146.4</v>
      </c>
      <c r="J236">
        <v>150.1</v>
      </c>
      <c r="K236">
        <v>130.6</v>
      </c>
      <c r="L236">
        <v>110.8</v>
      </c>
      <c r="M236">
        <v>141.69999999999999</v>
      </c>
      <c r="N236">
        <v>138.5</v>
      </c>
      <c r="O236">
        <v>156.69999999999999</v>
      </c>
      <c r="P236">
        <v>143</v>
      </c>
      <c r="Q236">
        <v>164.5</v>
      </c>
      <c r="R236">
        <v>151.6</v>
      </c>
      <c r="S236">
        <v>146.6</v>
      </c>
      <c r="T236">
        <v>150.9</v>
      </c>
      <c r="U236" t="s">
        <v>32</v>
      </c>
      <c r="V236">
        <v>146.80000000000001</v>
      </c>
      <c r="W236">
        <v>150</v>
      </c>
      <c r="X236">
        <v>152.19999999999999</v>
      </c>
      <c r="Y236">
        <v>131.19999999999999</v>
      </c>
      <c r="Z236">
        <v>147.5</v>
      </c>
      <c r="AA236">
        <v>159.1</v>
      </c>
      <c r="AB236">
        <v>136.1</v>
      </c>
      <c r="AC236">
        <v>144.19999999999999</v>
      </c>
      <c r="AD236">
        <v>144.9</v>
      </c>
      <c r="AE236">
        <f t="shared" si="100"/>
        <v>138.4</v>
      </c>
      <c r="AF236">
        <f t="shared" si="101"/>
        <v>164</v>
      </c>
      <c r="AG236">
        <f t="shared" si="102"/>
        <v>138.4</v>
      </c>
      <c r="AH236">
        <f t="shared" si="103"/>
        <v>143.9</v>
      </c>
      <c r="AI236">
        <f t="shared" si="104"/>
        <v>124.4</v>
      </c>
      <c r="AJ236">
        <f t="shared" si="105"/>
        <v>146.4</v>
      </c>
      <c r="AK236">
        <f t="shared" si="106"/>
        <v>150.1</v>
      </c>
      <c r="AL236">
        <f t="shared" si="107"/>
        <v>130.6</v>
      </c>
      <c r="AM236">
        <f t="shared" si="108"/>
        <v>110.8</v>
      </c>
      <c r="AN236">
        <f t="shared" si="109"/>
        <v>141.69999999999999</v>
      </c>
      <c r="AO236">
        <f t="shared" si="110"/>
        <v>138.5</v>
      </c>
      <c r="AP236">
        <f t="shared" si="111"/>
        <v>156.69999999999999</v>
      </c>
      <c r="AQ236">
        <f t="shared" si="112"/>
        <v>143</v>
      </c>
      <c r="AR236">
        <f t="shared" si="113"/>
        <v>164.5</v>
      </c>
      <c r="AS236">
        <f t="shared" si="114"/>
        <v>151.6</v>
      </c>
      <c r="AT236">
        <f t="shared" si="115"/>
        <v>146.6</v>
      </c>
      <c r="AU236">
        <f t="shared" si="116"/>
        <v>150.9</v>
      </c>
      <c r="AV236">
        <f t="shared" si="117"/>
        <v>150.6</v>
      </c>
      <c r="AW236">
        <f t="shared" si="118"/>
        <v>146.80000000000001</v>
      </c>
      <c r="AX236">
        <f t="shared" si="119"/>
        <v>150</v>
      </c>
      <c r="AY236">
        <f t="shared" si="120"/>
        <v>152.19999999999999</v>
      </c>
      <c r="AZ236">
        <f t="shared" si="121"/>
        <v>131.19999999999999</v>
      </c>
      <c r="BA236">
        <f t="shared" si="122"/>
        <v>147.5</v>
      </c>
      <c r="BB236">
        <f t="shared" si="123"/>
        <v>159.1</v>
      </c>
      <c r="BC236">
        <f t="shared" si="124"/>
        <v>136.1</v>
      </c>
      <c r="BD236">
        <f t="shared" si="125"/>
        <v>144.19999999999999</v>
      </c>
      <c r="BE236">
        <f t="shared" si="126"/>
        <v>144.9</v>
      </c>
      <c r="BF236">
        <f t="shared" si="127"/>
        <v>1826.8999999999999</v>
      </c>
      <c r="BG236">
        <f t="shared" si="128"/>
        <v>449.1</v>
      </c>
      <c r="BH236">
        <f t="shared" si="129"/>
        <v>288.29999999999995</v>
      </c>
      <c r="BI236">
        <f t="shared" si="130"/>
        <v>459.70000000000005</v>
      </c>
      <c r="BJ236">
        <f t="shared" si="131"/>
        <v>456.2</v>
      </c>
      <c r="BK236">
        <f t="shared" si="132"/>
        <v>278</v>
      </c>
    </row>
    <row r="237" spans="1:63" x14ac:dyDescent="0.35">
      <c r="A237" t="s">
        <v>33</v>
      </c>
      <c r="B237">
        <v>2019</v>
      </c>
      <c r="C237" t="s">
        <v>40</v>
      </c>
      <c r="D237">
        <v>141.4</v>
      </c>
      <c r="E237">
        <v>160.19999999999999</v>
      </c>
      <c r="F237">
        <v>142.5</v>
      </c>
      <c r="G237">
        <v>144.1</v>
      </c>
      <c r="H237">
        <v>119.3</v>
      </c>
      <c r="I237">
        <v>154.69999999999999</v>
      </c>
      <c r="J237">
        <v>180.1</v>
      </c>
      <c r="K237">
        <v>128.9</v>
      </c>
      <c r="L237">
        <v>111.8</v>
      </c>
      <c r="M237">
        <v>141.6</v>
      </c>
      <c r="N237">
        <v>129.5</v>
      </c>
      <c r="O237">
        <v>155.6</v>
      </c>
      <c r="P237">
        <v>147.69999999999999</v>
      </c>
      <c r="Q237">
        <v>167.2</v>
      </c>
      <c r="R237">
        <v>144.69999999999999</v>
      </c>
      <c r="S237">
        <v>131.9</v>
      </c>
      <c r="T237">
        <v>142.69999999999999</v>
      </c>
      <c r="U237">
        <v>150.6</v>
      </c>
      <c r="V237">
        <v>127</v>
      </c>
      <c r="W237">
        <v>137.69999999999999</v>
      </c>
      <c r="X237">
        <v>140.80000000000001</v>
      </c>
      <c r="Y237">
        <v>120.6</v>
      </c>
      <c r="Z237">
        <v>135</v>
      </c>
      <c r="AA237">
        <v>150.4</v>
      </c>
      <c r="AB237">
        <v>135.1</v>
      </c>
      <c r="AC237">
        <v>134.5</v>
      </c>
      <c r="AD237">
        <v>143.30000000000001</v>
      </c>
      <c r="AE237">
        <f t="shared" si="100"/>
        <v>141.4</v>
      </c>
      <c r="AF237">
        <f t="shared" si="101"/>
        <v>160.19999999999999</v>
      </c>
      <c r="AG237">
        <f t="shared" si="102"/>
        <v>142.5</v>
      </c>
      <c r="AH237">
        <f t="shared" si="103"/>
        <v>144.1</v>
      </c>
      <c r="AI237">
        <f t="shared" si="104"/>
        <v>119.3</v>
      </c>
      <c r="AJ237">
        <f t="shared" si="105"/>
        <v>154.69999999999999</v>
      </c>
      <c r="AK237">
        <f t="shared" si="106"/>
        <v>180.1</v>
      </c>
      <c r="AL237">
        <f t="shared" si="107"/>
        <v>128.9</v>
      </c>
      <c r="AM237">
        <f t="shared" si="108"/>
        <v>111.8</v>
      </c>
      <c r="AN237">
        <f t="shared" si="109"/>
        <v>141.6</v>
      </c>
      <c r="AO237">
        <f t="shared" si="110"/>
        <v>129.5</v>
      </c>
      <c r="AP237">
        <f t="shared" si="111"/>
        <v>155.6</v>
      </c>
      <c r="AQ237">
        <f t="shared" si="112"/>
        <v>147.69999999999999</v>
      </c>
      <c r="AR237">
        <f t="shared" si="113"/>
        <v>167.2</v>
      </c>
      <c r="AS237">
        <f t="shared" si="114"/>
        <v>144.69999999999999</v>
      </c>
      <c r="AT237">
        <f t="shared" si="115"/>
        <v>131.9</v>
      </c>
      <c r="AU237">
        <f t="shared" si="116"/>
        <v>142.69999999999999</v>
      </c>
      <c r="AV237">
        <f t="shared" si="117"/>
        <v>150.6</v>
      </c>
      <c r="AW237">
        <f t="shared" si="118"/>
        <v>127</v>
      </c>
      <c r="AX237">
        <f t="shared" si="119"/>
        <v>137.69999999999999</v>
      </c>
      <c r="AY237">
        <f t="shared" si="120"/>
        <v>140.80000000000001</v>
      </c>
      <c r="AZ237">
        <f t="shared" si="121"/>
        <v>120.6</v>
      </c>
      <c r="BA237">
        <f t="shared" si="122"/>
        <v>135</v>
      </c>
      <c r="BB237">
        <f t="shared" si="123"/>
        <v>150.4</v>
      </c>
      <c r="BC237">
        <f t="shared" si="124"/>
        <v>135.1</v>
      </c>
      <c r="BD237">
        <f t="shared" si="125"/>
        <v>134.5</v>
      </c>
      <c r="BE237">
        <f t="shared" si="126"/>
        <v>143.30000000000001</v>
      </c>
      <c r="BF237">
        <f t="shared" si="127"/>
        <v>1857.3999999999999</v>
      </c>
      <c r="BG237">
        <f t="shared" si="128"/>
        <v>419.3</v>
      </c>
      <c r="BH237">
        <f t="shared" si="129"/>
        <v>275.89999999999998</v>
      </c>
      <c r="BI237">
        <f t="shared" si="130"/>
        <v>438.70000000000005</v>
      </c>
      <c r="BJ237">
        <f t="shared" si="131"/>
        <v>436.7</v>
      </c>
      <c r="BK237">
        <f t="shared" si="132"/>
        <v>247.6</v>
      </c>
    </row>
    <row r="238" spans="1:63" x14ac:dyDescent="0.35">
      <c r="A238" t="s">
        <v>34</v>
      </c>
      <c r="B238">
        <v>2019</v>
      </c>
      <c r="C238" t="s">
        <v>40</v>
      </c>
      <c r="D238">
        <v>139.30000000000001</v>
      </c>
      <c r="E238">
        <v>162.69999999999999</v>
      </c>
      <c r="F238">
        <v>140</v>
      </c>
      <c r="G238">
        <v>144</v>
      </c>
      <c r="H238">
        <v>122.5</v>
      </c>
      <c r="I238">
        <v>150.30000000000001</v>
      </c>
      <c r="J238">
        <v>160.30000000000001</v>
      </c>
      <c r="K238">
        <v>130</v>
      </c>
      <c r="L238">
        <v>111.1</v>
      </c>
      <c r="M238">
        <v>141.69999999999999</v>
      </c>
      <c r="N238">
        <v>134.69999999999999</v>
      </c>
      <c r="O238">
        <v>156.19999999999999</v>
      </c>
      <c r="P238">
        <v>144.69999999999999</v>
      </c>
      <c r="Q238">
        <v>165.2</v>
      </c>
      <c r="R238">
        <v>148.9</v>
      </c>
      <c r="S238">
        <v>140.5</v>
      </c>
      <c r="T238">
        <v>147.6</v>
      </c>
      <c r="U238">
        <v>150.6</v>
      </c>
      <c r="V238">
        <v>139.30000000000001</v>
      </c>
      <c r="W238">
        <v>144.19999999999999</v>
      </c>
      <c r="X238">
        <v>147.9</v>
      </c>
      <c r="Y238">
        <v>125.6</v>
      </c>
      <c r="Z238">
        <v>140.5</v>
      </c>
      <c r="AA238">
        <v>154</v>
      </c>
      <c r="AB238">
        <v>135.69999999999999</v>
      </c>
      <c r="AC238">
        <v>139.5</v>
      </c>
      <c r="AD238">
        <v>144.19999999999999</v>
      </c>
      <c r="AE238">
        <f t="shared" si="100"/>
        <v>139.30000000000001</v>
      </c>
      <c r="AF238">
        <f t="shared" si="101"/>
        <v>162.69999999999999</v>
      </c>
      <c r="AG238">
        <f t="shared" si="102"/>
        <v>140</v>
      </c>
      <c r="AH238">
        <f t="shared" si="103"/>
        <v>144</v>
      </c>
      <c r="AI238">
        <f t="shared" si="104"/>
        <v>122.5</v>
      </c>
      <c r="AJ238">
        <f t="shared" si="105"/>
        <v>150.30000000000001</v>
      </c>
      <c r="AK238">
        <f t="shared" si="106"/>
        <v>160.30000000000001</v>
      </c>
      <c r="AL238">
        <f t="shared" si="107"/>
        <v>130</v>
      </c>
      <c r="AM238">
        <f t="shared" si="108"/>
        <v>111.1</v>
      </c>
      <c r="AN238">
        <f t="shared" si="109"/>
        <v>141.69999999999999</v>
      </c>
      <c r="AO238">
        <f t="shared" si="110"/>
        <v>134.69999999999999</v>
      </c>
      <c r="AP238">
        <f t="shared" si="111"/>
        <v>156.19999999999999</v>
      </c>
      <c r="AQ238">
        <f t="shared" si="112"/>
        <v>144.69999999999999</v>
      </c>
      <c r="AR238">
        <f t="shared" si="113"/>
        <v>165.2</v>
      </c>
      <c r="AS238">
        <f t="shared" si="114"/>
        <v>148.9</v>
      </c>
      <c r="AT238">
        <f t="shared" si="115"/>
        <v>140.5</v>
      </c>
      <c r="AU238">
        <f t="shared" si="116"/>
        <v>147.6</v>
      </c>
      <c r="AV238">
        <f t="shared" si="117"/>
        <v>150.6</v>
      </c>
      <c r="AW238">
        <f t="shared" si="118"/>
        <v>139.30000000000001</v>
      </c>
      <c r="AX238">
        <f t="shared" si="119"/>
        <v>144.19999999999999</v>
      </c>
      <c r="AY238">
        <f t="shared" si="120"/>
        <v>147.9</v>
      </c>
      <c r="AZ238">
        <f t="shared" si="121"/>
        <v>125.6</v>
      </c>
      <c r="BA238">
        <f t="shared" si="122"/>
        <v>140.5</v>
      </c>
      <c r="BB238">
        <f t="shared" si="123"/>
        <v>154</v>
      </c>
      <c r="BC238">
        <f t="shared" si="124"/>
        <v>135.69999999999999</v>
      </c>
      <c r="BD238">
        <f t="shared" si="125"/>
        <v>139.5</v>
      </c>
      <c r="BE238">
        <f t="shared" si="126"/>
        <v>144.19999999999999</v>
      </c>
      <c r="BF238">
        <f t="shared" si="127"/>
        <v>1837.5</v>
      </c>
      <c r="BG238">
        <f t="shared" si="128"/>
        <v>437</v>
      </c>
      <c r="BH238">
        <f t="shared" si="129"/>
        <v>283.60000000000002</v>
      </c>
      <c r="BI238">
        <f t="shared" si="130"/>
        <v>448.79999999999995</v>
      </c>
      <c r="BJ238">
        <f t="shared" si="131"/>
        <v>445.2</v>
      </c>
      <c r="BK238">
        <f t="shared" si="132"/>
        <v>264.89999999999998</v>
      </c>
    </row>
    <row r="239" spans="1:63" x14ac:dyDescent="0.35">
      <c r="A239" t="s">
        <v>30</v>
      </c>
      <c r="B239">
        <v>2019</v>
      </c>
      <c r="C239" t="s">
        <v>41</v>
      </c>
      <c r="D239">
        <v>139.19999999999999</v>
      </c>
      <c r="E239">
        <v>161.9</v>
      </c>
      <c r="F239">
        <v>137.1</v>
      </c>
      <c r="G239">
        <v>144.6</v>
      </c>
      <c r="H239">
        <v>124.7</v>
      </c>
      <c r="I239">
        <v>145.5</v>
      </c>
      <c r="J239">
        <v>156.19999999999999</v>
      </c>
      <c r="K239">
        <v>131.5</v>
      </c>
      <c r="L239">
        <v>111.7</v>
      </c>
      <c r="M239">
        <v>142.69999999999999</v>
      </c>
      <c r="N239">
        <v>138.5</v>
      </c>
      <c r="O239">
        <v>156.9</v>
      </c>
      <c r="P239">
        <v>144</v>
      </c>
      <c r="Q239">
        <v>165.1</v>
      </c>
      <c r="R239">
        <v>151.80000000000001</v>
      </c>
      <c r="S239">
        <v>146.6</v>
      </c>
      <c r="T239">
        <v>151.1</v>
      </c>
      <c r="U239" t="s">
        <v>32</v>
      </c>
      <c r="V239">
        <v>146.4</v>
      </c>
      <c r="W239">
        <v>150.19999999999999</v>
      </c>
      <c r="X239">
        <v>152.69999999999999</v>
      </c>
      <c r="Y239">
        <v>131.4</v>
      </c>
      <c r="Z239">
        <v>148</v>
      </c>
      <c r="AA239">
        <v>159.69999999999999</v>
      </c>
      <c r="AB239">
        <v>138.80000000000001</v>
      </c>
      <c r="AC239">
        <v>144.9</v>
      </c>
      <c r="AD239">
        <v>145.69999999999999</v>
      </c>
      <c r="AE239">
        <f t="shared" si="100"/>
        <v>139.19999999999999</v>
      </c>
      <c r="AF239">
        <f t="shared" si="101"/>
        <v>161.9</v>
      </c>
      <c r="AG239">
        <f t="shared" si="102"/>
        <v>137.1</v>
      </c>
      <c r="AH239">
        <f t="shared" si="103"/>
        <v>144.6</v>
      </c>
      <c r="AI239">
        <f t="shared" si="104"/>
        <v>124.7</v>
      </c>
      <c r="AJ239">
        <f t="shared" si="105"/>
        <v>145.5</v>
      </c>
      <c r="AK239">
        <f t="shared" si="106"/>
        <v>156.19999999999999</v>
      </c>
      <c r="AL239">
        <f t="shared" si="107"/>
        <v>131.5</v>
      </c>
      <c r="AM239">
        <f t="shared" si="108"/>
        <v>111.7</v>
      </c>
      <c r="AN239">
        <f t="shared" si="109"/>
        <v>142.69999999999999</v>
      </c>
      <c r="AO239">
        <f t="shared" si="110"/>
        <v>138.5</v>
      </c>
      <c r="AP239">
        <f t="shared" si="111"/>
        <v>156.9</v>
      </c>
      <c r="AQ239">
        <f t="shared" si="112"/>
        <v>144</v>
      </c>
      <c r="AR239">
        <f t="shared" si="113"/>
        <v>165.1</v>
      </c>
      <c r="AS239">
        <f t="shared" si="114"/>
        <v>151.80000000000001</v>
      </c>
      <c r="AT239">
        <f t="shared" si="115"/>
        <v>146.6</v>
      </c>
      <c r="AU239">
        <f t="shared" si="116"/>
        <v>151.1</v>
      </c>
      <c r="AV239">
        <f t="shared" si="117"/>
        <v>151.6</v>
      </c>
      <c r="AW239">
        <f t="shared" si="118"/>
        <v>146.4</v>
      </c>
      <c r="AX239">
        <f t="shared" si="119"/>
        <v>150.19999999999999</v>
      </c>
      <c r="AY239">
        <f t="shared" si="120"/>
        <v>152.69999999999999</v>
      </c>
      <c r="AZ239">
        <f t="shared" si="121"/>
        <v>131.4</v>
      </c>
      <c r="BA239">
        <f t="shared" si="122"/>
        <v>148</v>
      </c>
      <c r="BB239">
        <f t="shared" si="123"/>
        <v>159.69999999999999</v>
      </c>
      <c r="BC239">
        <f t="shared" si="124"/>
        <v>138.80000000000001</v>
      </c>
      <c r="BD239">
        <f t="shared" si="125"/>
        <v>144.9</v>
      </c>
      <c r="BE239">
        <f t="shared" si="126"/>
        <v>145.69999999999999</v>
      </c>
      <c r="BF239">
        <f t="shared" si="127"/>
        <v>1834.5000000000002</v>
      </c>
      <c r="BG239">
        <f t="shared" si="128"/>
        <v>449.5</v>
      </c>
      <c r="BH239">
        <f t="shared" si="129"/>
        <v>291.5</v>
      </c>
      <c r="BI239">
        <f t="shared" si="130"/>
        <v>461.5</v>
      </c>
      <c r="BJ239">
        <f t="shared" si="131"/>
        <v>458</v>
      </c>
      <c r="BK239">
        <f t="shared" si="132"/>
        <v>277.8</v>
      </c>
    </row>
    <row r="240" spans="1:63" x14ac:dyDescent="0.35">
      <c r="A240" t="s">
        <v>33</v>
      </c>
      <c r="B240">
        <v>2019</v>
      </c>
      <c r="C240" t="s">
        <v>41</v>
      </c>
      <c r="D240">
        <v>142.1</v>
      </c>
      <c r="E240">
        <v>158.30000000000001</v>
      </c>
      <c r="F240">
        <v>140.80000000000001</v>
      </c>
      <c r="G240">
        <v>144.9</v>
      </c>
      <c r="H240">
        <v>119.9</v>
      </c>
      <c r="I240">
        <v>153.9</v>
      </c>
      <c r="J240">
        <v>189.1</v>
      </c>
      <c r="K240">
        <v>129.80000000000001</v>
      </c>
      <c r="L240">
        <v>112.7</v>
      </c>
      <c r="M240">
        <v>142.5</v>
      </c>
      <c r="N240">
        <v>129.80000000000001</v>
      </c>
      <c r="O240">
        <v>156.19999999999999</v>
      </c>
      <c r="P240">
        <v>149.1</v>
      </c>
      <c r="Q240">
        <v>167.9</v>
      </c>
      <c r="R240">
        <v>145</v>
      </c>
      <c r="S240">
        <v>132.19999999999999</v>
      </c>
      <c r="T240">
        <v>143</v>
      </c>
      <c r="U240">
        <v>151.6</v>
      </c>
      <c r="V240">
        <v>125.5</v>
      </c>
      <c r="W240">
        <v>138.1</v>
      </c>
      <c r="X240">
        <v>141.5</v>
      </c>
      <c r="Y240">
        <v>120.8</v>
      </c>
      <c r="Z240">
        <v>135.4</v>
      </c>
      <c r="AA240">
        <v>151.5</v>
      </c>
      <c r="AB240">
        <v>137.80000000000001</v>
      </c>
      <c r="AC240">
        <v>135.30000000000001</v>
      </c>
      <c r="AD240">
        <v>144.19999999999999</v>
      </c>
      <c r="AE240">
        <f t="shared" si="100"/>
        <v>142.1</v>
      </c>
      <c r="AF240">
        <f t="shared" si="101"/>
        <v>158.30000000000001</v>
      </c>
      <c r="AG240">
        <f t="shared" si="102"/>
        <v>140.80000000000001</v>
      </c>
      <c r="AH240">
        <f t="shared" si="103"/>
        <v>144.9</v>
      </c>
      <c r="AI240">
        <f t="shared" si="104"/>
        <v>119.9</v>
      </c>
      <c r="AJ240">
        <f t="shared" si="105"/>
        <v>153.9</v>
      </c>
      <c r="AK240">
        <f t="shared" si="106"/>
        <v>189.1</v>
      </c>
      <c r="AL240">
        <f t="shared" si="107"/>
        <v>129.80000000000001</v>
      </c>
      <c r="AM240">
        <f t="shared" si="108"/>
        <v>112.7</v>
      </c>
      <c r="AN240">
        <f t="shared" si="109"/>
        <v>142.5</v>
      </c>
      <c r="AO240">
        <f t="shared" si="110"/>
        <v>129.80000000000001</v>
      </c>
      <c r="AP240">
        <f t="shared" si="111"/>
        <v>156.19999999999999</v>
      </c>
      <c r="AQ240">
        <f t="shared" si="112"/>
        <v>149.1</v>
      </c>
      <c r="AR240">
        <f t="shared" si="113"/>
        <v>167.9</v>
      </c>
      <c r="AS240">
        <f t="shared" si="114"/>
        <v>145</v>
      </c>
      <c r="AT240">
        <f t="shared" si="115"/>
        <v>132.19999999999999</v>
      </c>
      <c r="AU240">
        <f t="shared" si="116"/>
        <v>143</v>
      </c>
      <c r="AV240">
        <f t="shared" si="117"/>
        <v>151.6</v>
      </c>
      <c r="AW240">
        <f t="shared" si="118"/>
        <v>125.5</v>
      </c>
      <c r="AX240">
        <f t="shared" si="119"/>
        <v>138.1</v>
      </c>
      <c r="AY240">
        <f t="shared" si="120"/>
        <v>141.5</v>
      </c>
      <c r="AZ240">
        <f t="shared" si="121"/>
        <v>120.8</v>
      </c>
      <c r="BA240">
        <f t="shared" si="122"/>
        <v>135.4</v>
      </c>
      <c r="BB240">
        <f t="shared" si="123"/>
        <v>151.5</v>
      </c>
      <c r="BC240">
        <f t="shared" si="124"/>
        <v>137.80000000000001</v>
      </c>
      <c r="BD240">
        <f t="shared" si="125"/>
        <v>135.30000000000001</v>
      </c>
      <c r="BE240">
        <f t="shared" si="126"/>
        <v>144.19999999999999</v>
      </c>
      <c r="BF240">
        <f t="shared" si="127"/>
        <v>1869.1</v>
      </c>
      <c r="BG240">
        <f t="shared" si="128"/>
        <v>420.2</v>
      </c>
      <c r="BH240">
        <f t="shared" si="129"/>
        <v>279.3</v>
      </c>
      <c r="BI240">
        <f t="shared" si="130"/>
        <v>441.20000000000005</v>
      </c>
      <c r="BJ240">
        <f t="shared" si="131"/>
        <v>438.6</v>
      </c>
      <c r="BK240">
        <f t="shared" si="132"/>
        <v>246.3</v>
      </c>
    </row>
    <row r="241" spans="1:63" x14ac:dyDescent="0.35">
      <c r="A241" t="s">
        <v>34</v>
      </c>
      <c r="B241">
        <v>2019</v>
      </c>
      <c r="C241" t="s">
        <v>41</v>
      </c>
      <c r="D241">
        <v>140.1</v>
      </c>
      <c r="E241">
        <v>160.6</v>
      </c>
      <c r="F241">
        <v>138.5</v>
      </c>
      <c r="G241">
        <v>144.69999999999999</v>
      </c>
      <c r="H241">
        <v>122.9</v>
      </c>
      <c r="I241">
        <v>149.4</v>
      </c>
      <c r="J241">
        <v>167.4</v>
      </c>
      <c r="K241">
        <v>130.9</v>
      </c>
      <c r="L241">
        <v>112</v>
      </c>
      <c r="M241">
        <v>142.6</v>
      </c>
      <c r="N241">
        <v>134.9</v>
      </c>
      <c r="O241">
        <v>156.6</v>
      </c>
      <c r="P241">
        <v>145.9</v>
      </c>
      <c r="Q241">
        <v>165.8</v>
      </c>
      <c r="R241">
        <v>149.1</v>
      </c>
      <c r="S241">
        <v>140.6</v>
      </c>
      <c r="T241">
        <v>147.9</v>
      </c>
      <c r="U241">
        <v>151.6</v>
      </c>
      <c r="V241">
        <v>138.5</v>
      </c>
      <c r="W241">
        <v>144.5</v>
      </c>
      <c r="X241">
        <v>148.5</v>
      </c>
      <c r="Y241">
        <v>125.8</v>
      </c>
      <c r="Z241">
        <v>140.9</v>
      </c>
      <c r="AA241">
        <v>154.9</v>
      </c>
      <c r="AB241">
        <v>138.4</v>
      </c>
      <c r="AC241">
        <v>140.19999999999999</v>
      </c>
      <c r="AD241">
        <v>145</v>
      </c>
      <c r="AE241">
        <f t="shared" si="100"/>
        <v>140.1</v>
      </c>
      <c r="AF241">
        <f t="shared" si="101"/>
        <v>160.6</v>
      </c>
      <c r="AG241">
        <f t="shared" si="102"/>
        <v>138.5</v>
      </c>
      <c r="AH241">
        <f t="shared" si="103"/>
        <v>144.69999999999999</v>
      </c>
      <c r="AI241">
        <f t="shared" si="104"/>
        <v>122.9</v>
      </c>
      <c r="AJ241">
        <f t="shared" si="105"/>
        <v>149.4</v>
      </c>
      <c r="AK241">
        <f t="shared" si="106"/>
        <v>167.4</v>
      </c>
      <c r="AL241">
        <f t="shared" si="107"/>
        <v>130.9</v>
      </c>
      <c r="AM241">
        <f t="shared" si="108"/>
        <v>112</v>
      </c>
      <c r="AN241">
        <f t="shared" si="109"/>
        <v>142.6</v>
      </c>
      <c r="AO241">
        <f t="shared" si="110"/>
        <v>134.9</v>
      </c>
      <c r="AP241">
        <f t="shared" si="111"/>
        <v>156.6</v>
      </c>
      <c r="AQ241">
        <f t="shared" si="112"/>
        <v>145.9</v>
      </c>
      <c r="AR241">
        <f t="shared" si="113"/>
        <v>165.8</v>
      </c>
      <c r="AS241">
        <f t="shared" si="114"/>
        <v>149.1</v>
      </c>
      <c r="AT241">
        <f t="shared" si="115"/>
        <v>140.6</v>
      </c>
      <c r="AU241">
        <f t="shared" si="116"/>
        <v>147.9</v>
      </c>
      <c r="AV241">
        <f t="shared" si="117"/>
        <v>151.6</v>
      </c>
      <c r="AW241">
        <f t="shared" si="118"/>
        <v>138.5</v>
      </c>
      <c r="AX241">
        <f t="shared" si="119"/>
        <v>144.5</v>
      </c>
      <c r="AY241">
        <f t="shared" si="120"/>
        <v>148.5</v>
      </c>
      <c r="AZ241">
        <f t="shared" si="121"/>
        <v>125.8</v>
      </c>
      <c r="BA241">
        <f t="shared" si="122"/>
        <v>140.9</v>
      </c>
      <c r="BB241">
        <f t="shared" si="123"/>
        <v>154.9</v>
      </c>
      <c r="BC241">
        <f t="shared" si="124"/>
        <v>138.4</v>
      </c>
      <c r="BD241">
        <f t="shared" si="125"/>
        <v>140.19999999999999</v>
      </c>
      <c r="BE241">
        <f t="shared" si="126"/>
        <v>145</v>
      </c>
      <c r="BF241">
        <f t="shared" si="127"/>
        <v>1846.5</v>
      </c>
      <c r="BG241">
        <f t="shared" si="128"/>
        <v>437.6</v>
      </c>
      <c r="BH241">
        <f t="shared" si="129"/>
        <v>286.89999999999998</v>
      </c>
      <c r="BI241">
        <f t="shared" si="130"/>
        <v>451</v>
      </c>
      <c r="BJ241">
        <f t="shared" si="131"/>
        <v>446.90000000000003</v>
      </c>
      <c r="BK241">
        <f t="shared" si="132"/>
        <v>264.3</v>
      </c>
    </row>
    <row r="242" spans="1:63" x14ac:dyDescent="0.35">
      <c r="A242" t="s">
        <v>30</v>
      </c>
      <c r="B242">
        <v>2019</v>
      </c>
      <c r="C242" t="s">
        <v>42</v>
      </c>
      <c r="D242">
        <v>140.1</v>
      </c>
      <c r="E242">
        <v>161.9</v>
      </c>
      <c r="F242">
        <v>138.30000000000001</v>
      </c>
      <c r="G242">
        <v>145.69999999999999</v>
      </c>
      <c r="H242">
        <v>125.1</v>
      </c>
      <c r="I242">
        <v>143.80000000000001</v>
      </c>
      <c r="J242">
        <v>163.4</v>
      </c>
      <c r="K242">
        <v>132.19999999999999</v>
      </c>
      <c r="L242">
        <v>112.8</v>
      </c>
      <c r="M242">
        <v>144.19999999999999</v>
      </c>
      <c r="N242">
        <v>138.5</v>
      </c>
      <c r="O242">
        <v>157.19999999999999</v>
      </c>
      <c r="P242">
        <v>145.5</v>
      </c>
      <c r="Q242">
        <v>165.7</v>
      </c>
      <c r="R242">
        <v>151.69999999999999</v>
      </c>
      <c r="S242">
        <v>146.6</v>
      </c>
      <c r="T242">
        <v>151</v>
      </c>
      <c r="U242" t="s">
        <v>32</v>
      </c>
      <c r="V242">
        <v>146.9</v>
      </c>
      <c r="W242">
        <v>150.30000000000001</v>
      </c>
      <c r="X242">
        <v>153.4</v>
      </c>
      <c r="Y242">
        <v>131.6</v>
      </c>
      <c r="Z242">
        <v>148.30000000000001</v>
      </c>
      <c r="AA242">
        <v>160.19999999999999</v>
      </c>
      <c r="AB242">
        <v>140.19999999999999</v>
      </c>
      <c r="AC242">
        <v>145.4</v>
      </c>
      <c r="AD242">
        <v>146.69999999999999</v>
      </c>
      <c r="AE242">
        <f t="shared" si="100"/>
        <v>140.1</v>
      </c>
      <c r="AF242">
        <f t="shared" si="101"/>
        <v>161.9</v>
      </c>
      <c r="AG242">
        <f t="shared" si="102"/>
        <v>138.30000000000001</v>
      </c>
      <c r="AH242">
        <f t="shared" si="103"/>
        <v>145.69999999999999</v>
      </c>
      <c r="AI242">
        <f t="shared" si="104"/>
        <v>125.1</v>
      </c>
      <c r="AJ242">
        <f t="shared" si="105"/>
        <v>143.80000000000001</v>
      </c>
      <c r="AK242">
        <f t="shared" si="106"/>
        <v>163.4</v>
      </c>
      <c r="AL242">
        <f t="shared" si="107"/>
        <v>132.19999999999999</v>
      </c>
      <c r="AM242">
        <f t="shared" si="108"/>
        <v>112.8</v>
      </c>
      <c r="AN242">
        <f t="shared" si="109"/>
        <v>144.19999999999999</v>
      </c>
      <c r="AO242">
        <f t="shared" si="110"/>
        <v>138.5</v>
      </c>
      <c r="AP242">
        <f t="shared" si="111"/>
        <v>157.19999999999999</v>
      </c>
      <c r="AQ242">
        <f t="shared" si="112"/>
        <v>145.5</v>
      </c>
      <c r="AR242">
        <f t="shared" si="113"/>
        <v>165.7</v>
      </c>
      <c r="AS242">
        <f t="shared" si="114"/>
        <v>151.69999999999999</v>
      </c>
      <c r="AT242">
        <f t="shared" si="115"/>
        <v>146.6</v>
      </c>
      <c r="AU242">
        <f t="shared" si="116"/>
        <v>151</v>
      </c>
      <c r="AV242">
        <f t="shared" si="117"/>
        <v>152.19999999999999</v>
      </c>
      <c r="AW242">
        <f t="shared" si="118"/>
        <v>146.9</v>
      </c>
      <c r="AX242">
        <f t="shared" si="119"/>
        <v>150.30000000000001</v>
      </c>
      <c r="AY242">
        <f t="shared" si="120"/>
        <v>153.4</v>
      </c>
      <c r="AZ242">
        <f t="shared" si="121"/>
        <v>131.6</v>
      </c>
      <c r="BA242">
        <f t="shared" si="122"/>
        <v>148.30000000000001</v>
      </c>
      <c r="BB242">
        <f t="shared" si="123"/>
        <v>160.19999999999999</v>
      </c>
      <c r="BC242">
        <f t="shared" si="124"/>
        <v>140.19999999999999</v>
      </c>
      <c r="BD242">
        <f t="shared" si="125"/>
        <v>145.4</v>
      </c>
      <c r="BE242">
        <f t="shared" si="126"/>
        <v>146.69999999999999</v>
      </c>
      <c r="BF242">
        <f t="shared" si="127"/>
        <v>1848.7</v>
      </c>
      <c r="BG242">
        <f t="shared" si="128"/>
        <v>449.29999999999995</v>
      </c>
      <c r="BH242">
        <f t="shared" si="129"/>
        <v>293.60000000000002</v>
      </c>
      <c r="BI242">
        <f t="shared" si="130"/>
        <v>462.7</v>
      </c>
      <c r="BJ242">
        <f t="shared" si="131"/>
        <v>459.4</v>
      </c>
      <c r="BK242">
        <f t="shared" si="132"/>
        <v>278.5</v>
      </c>
    </row>
    <row r="243" spans="1:63" x14ac:dyDescent="0.35">
      <c r="A243" t="s">
        <v>33</v>
      </c>
      <c r="B243">
        <v>2019</v>
      </c>
      <c r="C243" t="s">
        <v>42</v>
      </c>
      <c r="D243">
        <v>142.69999999999999</v>
      </c>
      <c r="E243">
        <v>158.69999999999999</v>
      </c>
      <c r="F243">
        <v>141.6</v>
      </c>
      <c r="G243">
        <v>144.9</v>
      </c>
      <c r="H243">
        <v>120.8</v>
      </c>
      <c r="I243">
        <v>149.80000000000001</v>
      </c>
      <c r="J243">
        <v>192.4</v>
      </c>
      <c r="K243">
        <v>130.30000000000001</v>
      </c>
      <c r="L243">
        <v>114</v>
      </c>
      <c r="M243">
        <v>143.80000000000001</v>
      </c>
      <c r="N243">
        <v>130</v>
      </c>
      <c r="O243">
        <v>156.4</v>
      </c>
      <c r="P243">
        <v>149.5</v>
      </c>
      <c r="Q243">
        <v>168.6</v>
      </c>
      <c r="R243">
        <v>145.30000000000001</v>
      </c>
      <c r="S243">
        <v>132.19999999999999</v>
      </c>
      <c r="T243">
        <v>143.30000000000001</v>
      </c>
      <c r="U243">
        <v>152.19999999999999</v>
      </c>
      <c r="V243">
        <v>126.6</v>
      </c>
      <c r="W243">
        <v>138.30000000000001</v>
      </c>
      <c r="X243">
        <v>141.9</v>
      </c>
      <c r="Y243">
        <v>121.2</v>
      </c>
      <c r="Z243">
        <v>135.9</v>
      </c>
      <c r="AA243">
        <v>151.6</v>
      </c>
      <c r="AB243">
        <v>139</v>
      </c>
      <c r="AC243">
        <v>135.69999999999999</v>
      </c>
      <c r="AD243">
        <v>144.69999999999999</v>
      </c>
      <c r="AE243">
        <f t="shared" si="100"/>
        <v>142.69999999999999</v>
      </c>
      <c r="AF243">
        <f t="shared" si="101"/>
        <v>158.69999999999999</v>
      </c>
      <c r="AG243">
        <f t="shared" si="102"/>
        <v>141.6</v>
      </c>
      <c r="AH243">
        <f t="shared" si="103"/>
        <v>144.9</v>
      </c>
      <c r="AI243">
        <f t="shared" si="104"/>
        <v>120.8</v>
      </c>
      <c r="AJ243">
        <f t="shared" si="105"/>
        <v>149.80000000000001</v>
      </c>
      <c r="AK243">
        <f t="shared" si="106"/>
        <v>192.4</v>
      </c>
      <c r="AL243">
        <f t="shared" si="107"/>
        <v>130.30000000000001</v>
      </c>
      <c r="AM243">
        <f t="shared" si="108"/>
        <v>114</v>
      </c>
      <c r="AN243">
        <f t="shared" si="109"/>
        <v>143.80000000000001</v>
      </c>
      <c r="AO243">
        <f t="shared" si="110"/>
        <v>130</v>
      </c>
      <c r="AP243">
        <f t="shared" si="111"/>
        <v>156.4</v>
      </c>
      <c r="AQ243">
        <f t="shared" si="112"/>
        <v>149.5</v>
      </c>
      <c r="AR243">
        <f t="shared" si="113"/>
        <v>168.6</v>
      </c>
      <c r="AS243">
        <f t="shared" si="114"/>
        <v>145.30000000000001</v>
      </c>
      <c r="AT243">
        <f t="shared" si="115"/>
        <v>132.19999999999999</v>
      </c>
      <c r="AU243">
        <f t="shared" si="116"/>
        <v>143.30000000000001</v>
      </c>
      <c r="AV243">
        <f t="shared" si="117"/>
        <v>152.19999999999999</v>
      </c>
      <c r="AW243">
        <f t="shared" si="118"/>
        <v>126.6</v>
      </c>
      <c r="AX243">
        <f t="shared" si="119"/>
        <v>138.30000000000001</v>
      </c>
      <c r="AY243">
        <f t="shared" si="120"/>
        <v>141.9</v>
      </c>
      <c r="AZ243">
        <f t="shared" si="121"/>
        <v>121.2</v>
      </c>
      <c r="BA243">
        <f t="shared" si="122"/>
        <v>135.9</v>
      </c>
      <c r="BB243">
        <f t="shared" si="123"/>
        <v>151.6</v>
      </c>
      <c r="BC243">
        <f t="shared" si="124"/>
        <v>139</v>
      </c>
      <c r="BD243">
        <f t="shared" si="125"/>
        <v>135.69999999999999</v>
      </c>
      <c r="BE243">
        <f t="shared" si="126"/>
        <v>144.69999999999999</v>
      </c>
      <c r="BF243">
        <f t="shared" si="127"/>
        <v>1874.9</v>
      </c>
      <c r="BG243">
        <f t="shared" si="128"/>
        <v>420.8</v>
      </c>
      <c r="BH243">
        <f t="shared" si="129"/>
        <v>280.89999999999998</v>
      </c>
      <c r="BI243">
        <f t="shared" si="130"/>
        <v>442.09999999999997</v>
      </c>
      <c r="BJ243">
        <f t="shared" si="131"/>
        <v>440.2</v>
      </c>
      <c r="BK243">
        <f t="shared" si="132"/>
        <v>247.8</v>
      </c>
    </row>
    <row r="244" spans="1:63" x14ac:dyDescent="0.35">
      <c r="A244" t="s">
        <v>34</v>
      </c>
      <c r="B244">
        <v>2019</v>
      </c>
      <c r="C244" t="s">
        <v>42</v>
      </c>
      <c r="D244">
        <v>140.9</v>
      </c>
      <c r="E244">
        <v>160.80000000000001</v>
      </c>
      <c r="F244">
        <v>139.6</v>
      </c>
      <c r="G244">
        <v>145.4</v>
      </c>
      <c r="H244">
        <v>123.5</v>
      </c>
      <c r="I244">
        <v>146.6</v>
      </c>
      <c r="J244">
        <v>173.2</v>
      </c>
      <c r="K244">
        <v>131.6</v>
      </c>
      <c r="L244">
        <v>113.2</v>
      </c>
      <c r="M244">
        <v>144.1</v>
      </c>
      <c r="N244">
        <v>135</v>
      </c>
      <c r="O244">
        <v>156.80000000000001</v>
      </c>
      <c r="P244">
        <v>147</v>
      </c>
      <c r="Q244">
        <v>166.5</v>
      </c>
      <c r="R244">
        <v>149.19999999999999</v>
      </c>
      <c r="S244">
        <v>140.6</v>
      </c>
      <c r="T244">
        <v>147.9</v>
      </c>
      <c r="U244">
        <v>152.19999999999999</v>
      </c>
      <c r="V244">
        <v>139.19999999999999</v>
      </c>
      <c r="W244">
        <v>144.6</v>
      </c>
      <c r="X244">
        <v>149</v>
      </c>
      <c r="Y244">
        <v>126.1</v>
      </c>
      <c r="Z244">
        <v>141.30000000000001</v>
      </c>
      <c r="AA244">
        <v>155.19999999999999</v>
      </c>
      <c r="AB244">
        <v>139.69999999999999</v>
      </c>
      <c r="AC244">
        <v>140.69999999999999</v>
      </c>
      <c r="AD244">
        <v>145.80000000000001</v>
      </c>
      <c r="AE244">
        <f t="shared" si="100"/>
        <v>140.9</v>
      </c>
      <c r="AF244">
        <f t="shared" si="101"/>
        <v>160.80000000000001</v>
      </c>
      <c r="AG244">
        <f t="shared" si="102"/>
        <v>139.6</v>
      </c>
      <c r="AH244">
        <f t="shared" si="103"/>
        <v>145.4</v>
      </c>
      <c r="AI244">
        <f t="shared" si="104"/>
        <v>123.5</v>
      </c>
      <c r="AJ244">
        <f t="shared" si="105"/>
        <v>146.6</v>
      </c>
      <c r="AK244">
        <f t="shared" si="106"/>
        <v>173.2</v>
      </c>
      <c r="AL244">
        <f t="shared" si="107"/>
        <v>131.6</v>
      </c>
      <c r="AM244">
        <f t="shared" si="108"/>
        <v>113.2</v>
      </c>
      <c r="AN244">
        <f t="shared" si="109"/>
        <v>144.1</v>
      </c>
      <c r="AO244">
        <f t="shared" si="110"/>
        <v>135</v>
      </c>
      <c r="AP244">
        <f t="shared" si="111"/>
        <v>156.80000000000001</v>
      </c>
      <c r="AQ244">
        <f t="shared" si="112"/>
        <v>147</v>
      </c>
      <c r="AR244">
        <f t="shared" si="113"/>
        <v>166.5</v>
      </c>
      <c r="AS244">
        <f t="shared" si="114"/>
        <v>149.19999999999999</v>
      </c>
      <c r="AT244">
        <f t="shared" si="115"/>
        <v>140.6</v>
      </c>
      <c r="AU244">
        <f t="shared" si="116"/>
        <v>147.9</v>
      </c>
      <c r="AV244">
        <f t="shared" si="117"/>
        <v>152.19999999999999</v>
      </c>
      <c r="AW244">
        <f t="shared" si="118"/>
        <v>139.19999999999999</v>
      </c>
      <c r="AX244">
        <f t="shared" si="119"/>
        <v>144.6</v>
      </c>
      <c r="AY244">
        <f t="shared" si="120"/>
        <v>149</v>
      </c>
      <c r="AZ244">
        <f t="shared" si="121"/>
        <v>126.1</v>
      </c>
      <c r="BA244">
        <f t="shared" si="122"/>
        <v>141.30000000000001</v>
      </c>
      <c r="BB244">
        <f t="shared" si="123"/>
        <v>155.19999999999999</v>
      </c>
      <c r="BC244">
        <f t="shared" si="124"/>
        <v>139.69999999999999</v>
      </c>
      <c r="BD244">
        <f t="shared" si="125"/>
        <v>140.69999999999999</v>
      </c>
      <c r="BE244">
        <f t="shared" si="126"/>
        <v>145.80000000000001</v>
      </c>
      <c r="BF244">
        <f t="shared" si="127"/>
        <v>1857.6999999999998</v>
      </c>
      <c r="BG244">
        <f t="shared" si="128"/>
        <v>437.69999999999993</v>
      </c>
      <c r="BH244">
        <f t="shared" si="129"/>
        <v>288.7</v>
      </c>
      <c r="BI244">
        <f t="shared" si="130"/>
        <v>451.99999999999994</v>
      </c>
      <c r="BJ244">
        <f t="shared" si="131"/>
        <v>448.5</v>
      </c>
      <c r="BK244">
        <f t="shared" si="132"/>
        <v>265.29999999999995</v>
      </c>
    </row>
    <row r="245" spans="1:63" x14ac:dyDescent="0.35">
      <c r="A245" t="s">
        <v>30</v>
      </c>
      <c r="B245">
        <v>2019</v>
      </c>
      <c r="C245" t="s">
        <v>43</v>
      </c>
      <c r="D245">
        <v>141</v>
      </c>
      <c r="E245">
        <v>161.6</v>
      </c>
      <c r="F245">
        <v>141.19999999999999</v>
      </c>
      <c r="G245">
        <v>146.5</v>
      </c>
      <c r="H245">
        <v>125.6</v>
      </c>
      <c r="I245">
        <v>145.69999999999999</v>
      </c>
      <c r="J245">
        <v>178.8</v>
      </c>
      <c r="K245">
        <v>133.1</v>
      </c>
      <c r="L245">
        <v>113.6</v>
      </c>
      <c r="M245">
        <v>145.5</v>
      </c>
      <c r="N245">
        <v>138.6</v>
      </c>
      <c r="O245">
        <v>157.4</v>
      </c>
      <c r="P245">
        <v>148.30000000000001</v>
      </c>
      <c r="Q245">
        <v>166.3</v>
      </c>
      <c r="R245">
        <v>151.69999999999999</v>
      </c>
      <c r="S245">
        <v>146.69999999999999</v>
      </c>
      <c r="T245">
        <v>151</v>
      </c>
      <c r="U245" t="s">
        <v>32</v>
      </c>
      <c r="V245">
        <v>147.69999999999999</v>
      </c>
      <c r="W245">
        <v>150.6</v>
      </c>
      <c r="X245">
        <v>153.69999999999999</v>
      </c>
      <c r="Y245">
        <v>131.69999999999999</v>
      </c>
      <c r="Z245">
        <v>148.69999999999999</v>
      </c>
      <c r="AA245">
        <v>160.69999999999999</v>
      </c>
      <c r="AB245">
        <v>140.30000000000001</v>
      </c>
      <c r="AC245">
        <v>145.69999999999999</v>
      </c>
      <c r="AD245">
        <v>148.30000000000001</v>
      </c>
      <c r="AE245">
        <f t="shared" si="100"/>
        <v>141</v>
      </c>
      <c r="AF245">
        <f t="shared" si="101"/>
        <v>161.6</v>
      </c>
      <c r="AG245">
        <f t="shared" si="102"/>
        <v>141.19999999999999</v>
      </c>
      <c r="AH245">
        <f t="shared" si="103"/>
        <v>146.5</v>
      </c>
      <c r="AI245">
        <f t="shared" si="104"/>
        <v>125.6</v>
      </c>
      <c r="AJ245">
        <f t="shared" si="105"/>
        <v>145.69999999999999</v>
      </c>
      <c r="AK245">
        <f t="shared" si="106"/>
        <v>178.8</v>
      </c>
      <c r="AL245">
        <f t="shared" si="107"/>
        <v>133.1</v>
      </c>
      <c r="AM245">
        <f t="shared" si="108"/>
        <v>113.6</v>
      </c>
      <c r="AN245">
        <f t="shared" si="109"/>
        <v>145.5</v>
      </c>
      <c r="AO245">
        <f t="shared" si="110"/>
        <v>138.6</v>
      </c>
      <c r="AP245">
        <f t="shared" si="111"/>
        <v>157.4</v>
      </c>
      <c r="AQ245">
        <f t="shared" si="112"/>
        <v>148.30000000000001</v>
      </c>
      <c r="AR245">
        <f t="shared" si="113"/>
        <v>166.3</v>
      </c>
      <c r="AS245">
        <f t="shared" si="114"/>
        <v>151.69999999999999</v>
      </c>
      <c r="AT245">
        <f t="shared" si="115"/>
        <v>146.69999999999999</v>
      </c>
      <c r="AU245">
        <f t="shared" si="116"/>
        <v>151</v>
      </c>
      <c r="AV245">
        <f t="shared" si="117"/>
        <v>153</v>
      </c>
      <c r="AW245">
        <f t="shared" si="118"/>
        <v>147.69999999999999</v>
      </c>
      <c r="AX245">
        <f t="shared" si="119"/>
        <v>150.6</v>
      </c>
      <c r="AY245">
        <f t="shared" si="120"/>
        <v>153.69999999999999</v>
      </c>
      <c r="AZ245">
        <f t="shared" si="121"/>
        <v>131.69999999999999</v>
      </c>
      <c r="BA245">
        <f t="shared" si="122"/>
        <v>148.69999999999999</v>
      </c>
      <c r="BB245">
        <f t="shared" si="123"/>
        <v>160.69999999999999</v>
      </c>
      <c r="BC245">
        <f t="shared" si="124"/>
        <v>140.30000000000001</v>
      </c>
      <c r="BD245">
        <f t="shared" si="125"/>
        <v>145.69999999999999</v>
      </c>
      <c r="BE245">
        <f t="shared" si="126"/>
        <v>148.30000000000001</v>
      </c>
      <c r="BF245">
        <f t="shared" si="127"/>
        <v>1876.8999999999996</v>
      </c>
      <c r="BG245">
        <f t="shared" si="128"/>
        <v>449.4</v>
      </c>
      <c r="BH245">
        <f t="shared" si="129"/>
        <v>294</v>
      </c>
      <c r="BI245">
        <f t="shared" si="130"/>
        <v>464.29999999999995</v>
      </c>
      <c r="BJ245">
        <f t="shared" si="131"/>
        <v>460.7</v>
      </c>
      <c r="BK245">
        <f t="shared" si="132"/>
        <v>279.39999999999998</v>
      </c>
    </row>
    <row r="246" spans="1:63" x14ac:dyDescent="0.35">
      <c r="A246" t="s">
        <v>33</v>
      </c>
      <c r="B246">
        <v>2019</v>
      </c>
      <c r="C246" t="s">
        <v>43</v>
      </c>
      <c r="D246">
        <v>143.5</v>
      </c>
      <c r="E246">
        <v>159.80000000000001</v>
      </c>
      <c r="F246">
        <v>144.69999999999999</v>
      </c>
      <c r="G246">
        <v>145.6</v>
      </c>
      <c r="H246">
        <v>121.1</v>
      </c>
      <c r="I246">
        <v>150.6</v>
      </c>
      <c r="J246">
        <v>207.2</v>
      </c>
      <c r="K246">
        <v>131.19999999999999</v>
      </c>
      <c r="L246">
        <v>114.8</v>
      </c>
      <c r="M246">
        <v>145.19999999999999</v>
      </c>
      <c r="N246">
        <v>130.19999999999999</v>
      </c>
      <c r="O246">
        <v>156.80000000000001</v>
      </c>
      <c r="P246">
        <v>151.9</v>
      </c>
      <c r="Q246">
        <v>169.3</v>
      </c>
      <c r="R246">
        <v>145.9</v>
      </c>
      <c r="S246">
        <v>132.4</v>
      </c>
      <c r="T246">
        <v>143.9</v>
      </c>
      <c r="U246">
        <v>153</v>
      </c>
      <c r="V246">
        <v>128.9</v>
      </c>
      <c r="W246">
        <v>138.69999999999999</v>
      </c>
      <c r="X246">
        <v>142.4</v>
      </c>
      <c r="Y246">
        <v>121.5</v>
      </c>
      <c r="Z246">
        <v>136.19999999999999</v>
      </c>
      <c r="AA246">
        <v>151.69999999999999</v>
      </c>
      <c r="AB246">
        <v>139.5</v>
      </c>
      <c r="AC246">
        <v>136</v>
      </c>
      <c r="AD246">
        <v>146</v>
      </c>
      <c r="AE246">
        <f t="shared" si="100"/>
        <v>143.5</v>
      </c>
      <c r="AF246">
        <f t="shared" si="101"/>
        <v>159.80000000000001</v>
      </c>
      <c r="AG246">
        <f t="shared" si="102"/>
        <v>144.69999999999999</v>
      </c>
      <c r="AH246">
        <f t="shared" si="103"/>
        <v>145.6</v>
      </c>
      <c r="AI246">
        <f t="shared" si="104"/>
        <v>121.1</v>
      </c>
      <c r="AJ246">
        <f t="shared" si="105"/>
        <v>150.6</v>
      </c>
      <c r="AK246">
        <f t="shared" si="106"/>
        <v>207.2</v>
      </c>
      <c r="AL246">
        <f t="shared" si="107"/>
        <v>131.19999999999999</v>
      </c>
      <c r="AM246">
        <f t="shared" si="108"/>
        <v>114.8</v>
      </c>
      <c r="AN246">
        <f t="shared" si="109"/>
        <v>145.19999999999999</v>
      </c>
      <c r="AO246">
        <f t="shared" si="110"/>
        <v>130.19999999999999</v>
      </c>
      <c r="AP246">
        <f t="shared" si="111"/>
        <v>156.80000000000001</v>
      </c>
      <c r="AQ246">
        <f t="shared" si="112"/>
        <v>151.9</v>
      </c>
      <c r="AR246">
        <f t="shared" si="113"/>
        <v>169.3</v>
      </c>
      <c r="AS246">
        <f t="shared" si="114"/>
        <v>145.9</v>
      </c>
      <c r="AT246">
        <f t="shared" si="115"/>
        <v>132.4</v>
      </c>
      <c r="AU246">
        <f t="shared" si="116"/>
        <v>143.9</v>
      </c>
      <c r="AV246">
        <f t="shared" si="117"/>
        <v>153</v>
      </c>
      <c r="AW246">
        <f t="shared" si="118"/>
        <v>128.9</v>
      </c>
      <c r="AX246">
        <f t="shared" si="119"/>
        <v>138.69999999999999</v>
      </c>
      <c r="AY246">
        <f t="shared" si="120"/>
        <v>142.4</v>
      </c>
      <c r="AZ246">
        <f t="shared" si="121"/>
        <v>121.5</v>
      </c>
      <c r="BA246">
        <f t="shared" si="122"/>
        <v>136.19999999999999</v>
      </c>
      <c r="BB246">
        <f t="shared" si="123"/>
        <v>151.69999999999999</v>
      </c>
      <c r="BC246">
        <f t="shared" si="124"/>
        <v>139.5</v>
      </c>
      <c r="BD246">
        <f t="shared" si="125"/>
        <v>136</v>
      </c>
      <c r="BE246">
        <f t="shared" si="126"/>
        <v>146</v>
      </c>
      <c r="BF246">
        <f t="shared" si="127"/>
        <v>1902.6000000000001</v>
      </c>
      <c r="BG246">
        <f t="shared" si="128"/>
        <v>422.20000000000005</v>
      </c>
      <c r="BH246">
        <f t="shared" si="129"/>
        <v>281.89999999999998</v>
      </c>
      <c r="BI246">
        <f t="shared" si="130"/>
        <v>443.4</v>
      </c>
      <c r="BJ246">
        <f t="shared" si="131"/>
        <v>441.5</v>
      </c>
      <c r="BK246">
        <f t="shared" si="132"/>
        <v>250.4</v>
      </c>
    </row>
    <row r="247" spans="1:63" x14ac:dyDescent="0.35">
      <c r="A247" t="s">
        <v>34</v>
      </c>
      <c r="B247">
        <v>2019</v>
      </c>
      <c r="C247" t="s">
        <v>43</v>
      </c>
      <c r="D247">
        <v>141.80000000000001</v>
      </c>
      <c r="E247">
        <v>161</v>
      </c>
      <c r="F247">
        <v>142.6</v>
      </c>
      <c r="G247">
        <v>146.19999999999999</v>
      </c>
      <c r="H247">
        <v>123.9</v>
      </c>
      <c r="I247">
        <v>148</v>
      </c>
      <c r="J247">
        <v>188.4</v>
      </c>
      <c r="K247">
        <v>132.5</v>
      </c>
      <c r="L247">
        <v>114</v>
      </c>
      <c r="M247">
        <v>145.4</v>
      </c>
      <c r="N247">
        <v>135.1</v>
      </c>
      <c r="O247">
        <v>157.1</v>
      </c>
      <c r="P247">
        <v>149.6</v>
      </c>
      <c r="Q247">
        <v>167.1</v>
      </c>
      <c r="R247">
        <v>149.4</v>
      </c>
      <c r="S247">
        <v>140.80000000000001</v>
      </c>
      <c r="T247">
        <v>148.19999999999999</v>
      </c>
      <c r="U247">
        <v>153</v>
      </c>
      <c r="V247">
        <v>140.6</v>
      </c>
      <c r="W247">
        <v>145</v>
      </c>
      <c r="X247">
        <v>149.4</v>
      </c>
      <c r="Y247">
        <v>126.3</v>
      </c>
      <c r="Z247">
        <v>141.69999999999999</v>
      </c>
      <c r="AA247">
        <v>155.4</v>
      </c>
      <c r="AB247">
        <v>140</v>
      </c>
      <c r="AC247">
        <v>141</v>
      </c>
      <c r="AD247">
        <v>147.19999999999999</v>
      </c>
      <c r="AE247">
        <f t="shared" si="100"/>
        <v>141.80000000000001</v>
      </c>
      <c r="AF247">
        <f t="shared" si="101"/>
        <v>161</v>
      </c>
      <c r="AG247">
        <f t="shared" si="102"/>
        <v>142.6</v>
      </c>
      <c r="AH247">
        <f t="shared" si="103"/>
        <v>146.19999999999999</v>
      </c>
      <c r="AI247">
        <f t="shared" si="104"/>
        <v>123.9</v>
      </c>
      <c r="AJ247">
        <f t="shared" si="105"/>
        <v>148</v>
      </c>
      <c r="AK247">
        <f t="shared" si="106"/>
        <v>188.4</v>
      </c>
      <c r="AL247">
        <f t="shared" si="107"/>
        <v>132.5</v>
      </c>
      <c r="AM247">
        <f t="shared" si="108"/>
        <v>114</v>
      </c>
      <c r="AN247">
        <f t="shared" si="109"/>
        <v>145.4</v>
      </c>
      <c r="AO247">
        <f t="shared" si="110"/>
        <v>135.1</v>
      </c>
      <c r="AP247">
        <f t="shared" si="111"/>
        <v>157.1</v>
      </c>
      <c r="AQ247">
        <f t="shared" si="112"/>
        <v>149.6</v>
      </c>
      <c r="AR247">
        <f t="shared" si="113"/>
        <v>167.1</v>
      </c>
      <c r="AS247">
        <f t="shared" si="114"/>
        <v>149.4</v>
      </c>
      <c r="AT247">
        <f t="shared" si="115"/>
        <v>140.80000000000001</v>
      </c>
      <c r="AU247">
        <f t="shared" si="116"/>
        <v>148.19999999999999</v>
      </c>
      <c r="AV247">
        <f t="shared" si="117"/>
        <v>153</v>
      </c>
      <c r="AW247">
        <f t="shared" si="118"/>
        <v>140.6</v>
      </c>
      <c r="AX247">
        <f t="shared" si="119"/>
        <v>145</v>
      </c>
      <c r="AY247">
        <f t="shared" si="120"/>
        <v>149.4</v>
      </c>
      <c r="AZ247">
        <f t="shared" si="121"/>
        <v>126.3</v>
      </c>
      <c r="BA247">
        <f t="shared" si="122"/>
        <v>141.69999999999999</v>
      </c>
      <c r="BB247">
        <f t="shared" si="123"/>
        <v>155.4</v>
      </c>
      <c r="BC247">
        <f t="shared" si="124"/>
        <v>140</v>
      </c>
      <c r="BD247">
        <f t="shared" si="125"/>
        <v>141</v>
      </c>
      <c r="BE247">
        <f t="shared" si="126"/>
        <v>147.19999999999999</v>
      </c>
      <c r="BF247">
        <f t="shared" si="127"/>
        <v>1885.5999999999997</v>
      </c>
      <c r="BG247">
        <f t="shared" si="128"/>
        <v>438.40000000000003</v>
      </c>
      <c r="BH247">
        <f t="shared" si="129"/>
        <v>289.39999999999998</v>
      </c>
      <c r="BI247">
        <f t="shared" si="130"/>
        <v>453.4</v>
      </c>
      <c r="BJ247">
        <f t="shared" si="131"/>
        <v>449.79999999999995</v>
      </c>
      <c r="BK247">
        <f t="shared" si="132"/>
        <v>266.89999999999998</v>
      </c>
    </row>
    <row r="248" spans="1:63" x14ac:dyDescent="0.35">
      <c r="A248" t="s">
        <v>30</v>
      </c>
      <c r="B248">
        <v>2019</v>
      </c>
      <c r="C248" t="s">
        <v>45</v>
      </c>
      <c r="D248">
        <v>141.80000000000001</v>
      </c>
      <c r="E248">
        <v>163.69999999999999</v>
      </c>
      <c r="F248">
        <v>143.80000000000001</v>
      </c>
      <c r="G248">
        <v>147.1</v>
      </c>
      <c r="H248">
        <v>126</v>
      </c>
      <c r="I248">
        <v>146.19999999999999</v>
      </c>
      <c r="J248">
        <v>191.4</v>
      </c>
      <c r="K248">
        <v>136.19999999999999</v>
      </c>
      <c r="L248">
        <v>113.8</v>
      </c>
      <c r="M248">
        <v>147.30000000000001</v>
      </c>
      <c r="N248">
        <v>138.69999999999999</v>
      </c>
      <c r="O248">
        <v>157.69999999999999</v>
      </c>
      <c r="P248">
        <v>150.9</v>
      </c>
      <c r="Q248">
        <v>167.2</v>
      </c>
      <c r="R248">
        <v>152.30000000000001</v>
      </c>
      <c r="S248">
        <v>147</v>
      </c>
      <c r="T248">
        <v>151.5</v>
      </c>
      <c r="U248" t="s">
        <v>32</v>
      </c>
      <c r="V248">
        <v>148.4</v>
      </c>
      <c r="W248">
        <v>150.9</v>
      </c>
      <c r="X248">
        <v>154.30000000000001</v>
      </c>
      <c r="Y248">
        <v>132.1</v>
      </c>
      <c r="Z248">
        <v>149.1</v>
      </c>
      <c r="AA248">
        <v>160.80000000000001</v>
      </c>
      <c r="AB248">
        <v>140.6</v>
      </c>
      <c r="AC248">
        <v>146.1</v>
      </c>
      <c r="AD248">
        <v>149.9</v>
      </c>
      <c r="AE248">
        <f t="shared" si="100"/>
        <v>141.80000000000001</v>
      </c>
      <c r="AF248">
        <f t="shared" si="101"/>
        <v>163.69999999999999</v>
      </c>
      <c r="AG248">
        <f t="shared" si="102"/>
        <v>143.80000000000001</v>
      </c>
      <c r="AH248">
        <f t="shared" si="103"/>
        <v>147.1</v>
      </c>
      <c r="AI248">
        <f t="shared" si="104"/>
        <v>126</v>
      </c>
      <c r="AJ248">
        <f t="shared" si="105"/>
        <v>146.19999999999999</v>
      </c>
      <c r="AK248">
        <f t="shared" si="106"/>
        <v>191.4</v>
      </c>
      <c r="AL248">
        <f t="shared" si="107"/>
        <v>136.19999999999999</v>
      </c>
      <c r="AM248">
        <f t="shared" si="108"/>
        <v>113.8</v>
      </c>
      <c r="AN248">
        <f t="shared" si="109"/>
        <v>147.30000000000001</v>
      </c>
      <c r="AO248">
        <f t="shared" si="110"/>
        <v>138.69999999999999</v>
      </c>
      <c r="AP248">
        <f t="shared" si="111"/>
        <v>157.69999999999999</v>
      </c>
      <c r="AQ248">
        <f t="shared" si="112"/>
        <v>150.9</v>
      </c>
      <c r="AR248">
        <f t="shared" si="113"/>
        <v>167.2</v>
      </c>
      <c r="AS248">
        <f t="shared" si="114"/>
        <v>152.30000000000001</v>
      </c>
      <c r="AT248">
        <f t="shared" si="115"/>
        <v>147</v>
      </c>
      <c r="AU248">
        <f t="shared" si="116"/>
        <v>151.5</v>
      </c>
      <c r="AV248">
        <f t="shared" si="117"/>
        <v>153.5</v>
      </c>
      <c r="AW248">
        <f t="shared" si="118"/>
        <v>148.4</v>
      </c>
      <c r="AX248">
        <f t="shared" si="119"/>
        <v>150.9</v>
      </c>
      <c r="AY248">
        <f t="shared" si="120"/>
        <v>154.30000000000001</v>
      </c>
      <c r="AZ248">
        <f t="shared" si="121"/>
        <v>132.1</v>
      </c>
      <c r="BA248">
        <f t="shared" si="122"/>
        <v>149.1</v>
      </c>
      <c r="BB248">
        <f t="shared" si="123"/>
        <v>160.80000000000001</v>
      </c>
      <c r="BC248">
        <f t="shared" si="124"/>
        <v>140.6</v>
      </c>
      <c r="BD248">
        <f t="shared" si="125"/>
        <v>146.1</v>
      </c>
      <c r="BE248">
        <f t="shared" si="126"/>
        <v>149.9</v>
      </c>
      <c r="BF248">
        <f t="shared" si="127"/>
        <v>1904.6000000000001</v>
      </c>
      <c r="BG248">
        <f t="shared" si="128"/>
        <v>450.8</v>
      </c>
      <c r="BH248">
        <f t="shared" si="129"/>
        <v>294.89999999999998</v>
      </c>
      <c r="BI248">
        <f t="shared" si="130"/>
        <v>465.20000000000005</v>
      </c>
      <c r="BJ248">
        <f t="shared" si="131"/>
        <v>462.4</v>
      </c>
      <c r="BK248">
        <f t="shared" si="132"/>
        <v>280.5</v>
      </c>
    </row>
    <row r="249" spans="1:63" x14ac:dyDescent="0.35">
      <c r="A249" t="s">
        <v>33</v>
      </c>
      <c r="B249">
        <v>2019</v>
      </c>
      <c r="C249" t="s">
        <v>45</v>
      </c>
      <c r="D249">
        <v>144.1</v>
      </c>
      <c r="E249">
        <v>162.4</v>
      </c>
      <c r="F249">
        <v>148.4</v>
      </c>
      <c r="G249">
        <v>145.9</v>
      </c>
      <c r="H249">
        <v>121.5</v>
      </c>
      <c r="I249">
        <v>148.80000000000001</v>
      </c>
      <c r="J249">
        <v>215.7</v>
      </c>
      <c r="K249">
        <v>134.6</v>
      </c>
      <c r="L249">
        <v>115</v>
      </c>
      <c r="M249">
        <v>146.30000000000001</v>
      </c>
      <c r="N249">
        <v>130.5</v>
      </c>
      <c r="O249">
        <v>157.19999999999999</v>
      </c>
      <c r="P249">
        <v>153.6</v>
      </c>
      <c r="Q249">
        <v>169.9</v>
      </c>
      <c r="R249">
        <v>146.30000000000001</v>
      </c>
      <c r="S249">
        <v>132.6</v>
      </c>
      <c r="T249">
        <v>144.19999999999999</v>
      </c>
      <c r="U249">
        <v>153.5</v>
      </c>
      <c r="V249">
        <v>132.19999999999999</v>
      </c>
      <c r="W249">
        <v>139.1</v>
      </c>
      <c r="X249">
        <v>142.80000000000001</v>
      </c>
      <c r="Y249">
        <v>121.7</v>
      </c>
      <c r="Z249">
        <v>136.69999999999999</v>
      </c>
      <c r="AA249">
        <v>151.80000000000001</v>
      </c>
      <c r="AB249">
        <v>139.80000000000001</v>
      </c>
      <c r="AC249">
        <v>136.30000000000001</v>
      </c>
      <c r="AD249">
        <v>147</v>
      </c>
      <c r="AE249">
        <f t="shared" si="100"/>
        <v>144.1</v>
      </c>
      <c r="AF249">
        <f t="shared" si="101"/>
        <v>162.4</v>
      </c>
      <c r="AG249">
        <f t="shared" si="102"/>
        <v>148.4</v>
      </c>
      <c r="AH249">
        <f t="shared" si="103"/>
        <v>145.9</v>
      </c>
      <c r="AI249">
        <f t="shared" si="104"/>
        <v>121.5</v>
      </c>
      <c r="AJ249">
        <f t="shared" si="105"/>
        <v>148.80000000000001</v>
      </c>
      <c r="AK249">
        <f t="shared" si="106"/>
        <v>215.7</v>
      </c>
      <c r="AL249">
        <f t="shared" si="107"/>
        <v>134.6</v>
      </c>
      <c r="AM249">
        <f t="shared" si="108"/>
        <v>115</v>
      </c>
      <c r="AN249">
        <f t="shared" si="109"/>
        <v>146.30000000000001</v>
      </c>
      <c r="AO249">
        <f t="shared" si="110"/>
        <v>130.5</v>
      </c>
      <c r="AP249">
        <f t="shared" si="111"/>
        <v>157.19999999999999</v>
      </c>
      <c r="AQ249">
        <f t="shared" si="112"/>
        <v>153.6</v>
      </c>
      <c r="AR249">
        <f t="shared" si="113"/>
        <v>169.9</v>
      </c>
      <c r="AS249">
        <f t="shared" si="114"/>
        <v>146.30000000000001</v>
      </c>
      <c r="AT249">
        <f t="shared" si="115"/>
        <v>132.6</v>
      </c>
      <c r="AU249">
        <f t="shared" si="116"/>
        <v>144.19999999999999</v>
      </c>
      <c r="AV249">
        <f t="shared" si="117"/>
        <v>153.5</v>
      </c>
      <c r="AW249">
        <f t="shared" si="118"/>
        <v>132.19999999999999</v>
      </c>
      <c r="AX249">
        <f t="shared" si="119"/>
        <v>139.1</v>
      </c>
      <c r="AY249">
        <f t="shared" si="120"/>
        <v>142.80000000000001</v>
      </c>
      <c r="AZ249">
        <f t="shared" si="121"/>
        <v>121.7</v>
      </c>
      <c r="BA249">
        <f t="shared" si="122"/>
        <v>136.69999999999999</v>
      </c>
      <c r="BB249">
        <f t="shared" si="123"/>
        <v>151.80000000000001</v>
      </c>
      <c r="BC249">
        <f t="shared" si="124"/>
        <v>139.80000000000001</v>
      </c>
      <c r="BD249">
        <f t="shared" si="125"/>
        <v>136.30000000000001</v>
      </c>
      <c r="BE249">
        <f t="shared" si="126"/>
        <v>147</v>
      </c>
      <c r="BF249">
        <f t="shared" si="127"/>
        <v>1923.9999999999998</v>
      </c>
      <c r="BG249">
        <f t="shared" si="128"/>
        <v>423.09999999999997</v>
      </c>
      <c r="BH249">
        <f t="shared" si="129"/>
        <v>282.60000000000002</v>
      </c>
      <c r="BI249">
        <f t="shared" si="130"/>
        <v>444.4</v>
      </c>
      <c r="BJ249">
        <f t="shared" si="131"/>
        <v>442.90000000000003</v>
      </c>
      <c r="BK249">
        <f t="shared" si="132"/>
        <v>253.89999999999998</v>
      </c>
    </row>
    <row r="250" spans="1:63" x14ac:dyDescent="0.35">
      <c r="A250" t="s">
        <v>34</v>
      </c>
      <c r="B250">
        <v>2019</v>
      </c>
      <c r="C250" t="s">
        <v>45</v>
      </c>
      <c r="D250">
        <v>142.5</v>
      </c>
      <c r="E250">
        <v>163.19999999999999</v>
      </c>
      <c r="F250">
        <v>145.6</v>
      </c>
      <c r="G250">
        <v>146.69999999999999</v>
      </c>
      <c r="H250">
        <v>124.3</v>
      </c>
      <c r="I250">
        <v>147.4</v>
      </c>
      <c r="J250">
        <v>199.6</v>
      </c>
      <c r="K250">
        <v>135.69999999999999</v>
      </c>
      <c r="L250">
        <v>114.2</v>
      </c>
      <c r="M250">
        <v>147</v>
      </c>
      <c r="N250">
        <v>135.30000000000001</v>
      </c>
      <c r="O250">
        <v>157.5</v>
      </c>
      <c r="P250">
        <v>151.9</v>
      </c>
      <c r="Q250">
        <v>167.9</v>
      </c>
      <c r="R250">
        <v>149.9</v>
      </c>
      <c r="S250">
        <v>141</v>
      </c>
      <c r="T250">
        <v>148.6</v>
      </c>
      <c r="U250">
        <v>153.5</v>
      </c>
      <c r="V250">
        <v>142.30000000000001</v>
      </c>
      <c r="W250">
        <v>145.30000000000001</v>
      </c>
      <c r="X250">
        <v>149.9</v>
      </c>
      <c r="Y250">
        <v>126.6</v>
      </c>
      <c r="Z250">
        <v>142.1</v>
      </c>
      <c r="AA250">
        <v>155.5</v>
      </c>
      <c r="AB250">
        <v>140.30000000000001</v>
      </c>
      <c r="AC250">
        <v>141.30000000000001</v>
      </c>
      <c r="AD250">
        <v>148.6</v>
      </c>
      <c r="AE250">
        <f t="shared" si="100"/>
        <v>142.5</v>
      </c>
      <c r="AF250">
        <f t="shared" si="101"/>
        <v>163.19999999999999</v>
      </c>
      <c r="AG250">
        <f t="shared" si="102"/>
        <v>145.6</v>
      </c>
      <c r="AH250">
        <f t="shared" si="103"/>
        <v>146.69999999999999</v>
      </c>
      <c r="AI250">
        <f t="shared" si="104"/>
        <v>124.3</v>
      </c>
      <c r="AJ250">
        <f t="shared" si="105"/>
        <v>147.4</v>
      </c>
      <c r="AK250">
        <f t="shared" si="106"/>
        <v>199.6</v>
      </c>
      <c r="AL250">
        <f t="shared" si="107"/>
        <v>135.69999999999999</v>
      </c>
      <c r="AM250">
        <f t="shared" si="108"/>
        <v>114.2</v>
      </c>
      <c r="AN250">
        <f t="shared" si="109"/>
        <v>147</v>
      </c>
      <c r="AO250">
        <f t="shared" si="110"/>
        <v>135.30000000000001</v>
      </c>
      <c r="AP250">
        <f t="shared" si="111"/>
        <v>157.5</v>
      </c>
      <c r="AQ250">
        <f t="shared" si="112"/>
        <v>151.9</v>
      </c>
      <c r="AR250">
        <f t="shared" si="113"/>
        <v>167.9</v>
      </c>
      <c r="AS250">
        <f t="shared" si="114"/>
        <v>149.9</v>
      </c>
      <c r="AT250">
        <f t="shared" si="115"/>
        <v>141</v>
      </c>
      <c r="AU250">
        <f t="shared" si="116"/>
        <v>148.6</v>
      </c>
      <c r="AV250">
        <f t="shared" si="117"/>
        <v>153.5</v>
      </c>
      <c r="AW250">
        <f t="shared" si="118"/>
        <v>142.30000000000001</v>
      </c>
      <c r="AX250">
        <f t="shared" si="119"/>
        <v>145.30000000000001</v>
      </c>
      <c r="AY250">
        <f t="shared" si="120"/>
        <v>149.9</v>
      </c>
      <c r="AZ250">
        <f t="shared" si="121"/>
        <v>126.6</v>
      </c>
      <c r="BA250">
        <f t="shared" si="122"/>
        <v>142.1</v>
      </c>
      <c r="BB250">
        <f t="shared" si="123"/>
        <v>155.5</v>
      </c>
      <c r="BC250">
        <f t="shared" si="124"/>
        <v>140.30000000000001</v>
      </c>
      <c r="BD250">
        <f t="shared" si="125"/>
        <v>141.30000000000001</v>
      </c>
      <c r="BE250">
        <f t="shared" si="126"/>
        <v>148.6</v>
      </c>
      <c r="BF250">
        <f t="shared" si="127"/>
        <v>1910.9</v>
      </c>
      <c r="BG250">
        <f t="shared" si="128"/>
        <v>439.5</v>
      </c>
      <c r="BH250">
        <f t="shared" si="129"/>
        <v>290.20000000000005</v>
      </c>
      <c r="BI250">
        <f t="shared" si="130"/>
        <v>454.3</v>
      </c>
      <c r="BJ250">
        <f t="shared" si="131"/>
        <v>451.3</v>
      </c>
      <c r="BK250">
        <f t="shared" si="132"/>
        <v>268.89999999999998</v>
      </c>
    </row>
    <row r="251" spans="1:63" x14ac:dyDescent="0.35">
      <c r="A251" t="s">
        <v>30</v>
      </c>
      <c r="B251">
        <v>2019</v>
      </c>
      <c r="C251" t="s">
        <v>46</v>
      </c>
      <c r="D251">
        <v>142.80000000000001</v>
      </c>
      <c r="E251">
        <v>165.3</v>
      </c>
      <c r="F251">
        <v>149.5</v>
      </c>
      <c r="G251">
        <v>148.69999999999999</v>
      </c>
      <c r="H251">
        <v>127.5</v>
      </c>
      <c r="I251">
        <v>144.30000000000001</v>
      </c>
      <c r="J251">
        <v>209.5</v>
      </c>
      <c r="K251">
        <v>138.80000000000001</v>
      </c>
      <c r="L251">
        <v>113.6</v>
      </c>
      <c r="M251">
        <v>149.1</v>
      </c>
      <c r="N251">
        <v>139.30000000000001</v>
      </c>
      <c r="O251">
        <v>158.30000000000001</v>
      </c>
      <c r="P251">
        <v>154.30000000000001</v>
      </c>
      <c r="Q251">
        <v>167.8</v>
      </c>
      <c r="R251">
        <v>152.6</v>
      </c>
      <c r="S251">
        <v>147.30000000000001</v>
      </c>
      <c r="T251">
        <v>151.9</v>
      </c>
      <c r="U251" t="s">
        <v>32</v>
      </c>
      <c r="V251">
        <v>149.9</v>
      </c>
      <c r="W251">
        <v>151.19999999999999</v>
      </c>
      <c r="X251">
        <v>154.80000000000001</v>
      </c>
      <c r="Y251">
        <v>135</v>
      </c>
      <c r="Z251">
        <v>149.5</v>
      </c>
      <c r="AA251">
        <v>161.1</v>
      </c>
      <c r="AB251">
        <v>140.6</v>
      </c>
      <c r="AC251">
        <v>147.1</v>
      </c>
      <c r="AD251">
        <v>152.30000000000001</v>
      </c>
      <c r="AE251">
        <f t="shared" si="100"/>
        <v>142.80000000000001</v>
      </c>
      <c r="AF251">
        <f t="shared" si="101"/>
        <v>165.3</v>
      </c>
      <c r="AG251">
        <f t="shared" si="102"/>
        <v>149.5</v>
      </c>
      <c r="AH251">
        <f t="shared" si="103"/>
        <v>148.69999999999999</v>
      </c>
      <c r="AI251">
        <f t="shared" si="104"/>
        <v>127.5</v>
      </c>
      <c r="AJ251">
        <f t="shared" si="105"/>
        <v>144.30000000000001</v>
      </c>
      <c r="AK251">
        <f t="shared" si="106"/>
        <v>209.5</v>
      </c>
      <c r="AL251">
        <f t="shared" si="107"/>
        <v>138.80000000000001</v>
      </c>
      <c r="AM251">
        <f t="shared" si="108"/>
        <v>113.6</v>
      </c>
      <c r="AN251">
        <f t="shared" si="109"/>
        <v>149.1</v>
      </c>
      <c r="AO251">
        <f t="shared" si="110"/>
        <v>139.30000000000001</v>
      </c>
      <c r="AP251">
        <f t="shared" si="111"/>
        <v>158.30000000000001</v>
      </c>
      <c r="AQ251">
        <f t="shared" si="112"/>
        <v>154.30000000000001</v>
      </c>
      <c r="AR251">
        <f t="shared" si="113"/>
        <v>167.8</v>
      </c>
      <c r="AS251">
        <f t="shared" si="114"/>
        <v>152.6</v>
      </c>
      <c r="AT251">
        <f t="shared" si="115"/>
        <v>147.30000000000001</v>
      </c>
      <c r="AU251">
        <f t="shared" si="116"/>
        <v>151.9</v>
      </c>
      <c r="AV251">
        <f t="shared" si="117"/>
        <v>152.80000000000001</v>
      </c>
      <c r="AW251">
        <f t="shared" si="118"/>
        <v>149.9</v>
      </c>
      <c r="AX251">
        <f t="shared" si="119"/>
        <v>151.19999999999999</v>
      </c>
      <c r="AY251">
        <f t="shared" si="120"/>
        <v>154.80000000000001</v>
      </c>
      <c r="AZ251">
        <f t="shared" si="121"/>
        <v>135</v>
      </c>
      <c r="BA251">
        <f t="shared" si="122"/>
        <v>149.5</v>
      </c>
      <c r="BB251">
        <f t="shared" si="123"/>
        <v>161.1</v>
      </c>
      <c r="BC251">
        <f t="shared" si="124"/>
        <v>140.6</v>
      </c>
      <c r="BD251">
        <f t="shared" si="125"/>
        <v>147.1</v>
      </c>
      <c r="BE251">
        <f t="shared" si="126"/>
        <v>152.30000000000001</v>
      </c>
      <c r="BF251">
        <f t="shared" si="127"/>
        <v>1940.9999999999995</v>
      </c>
      <c r="BG251">
        <f t="shared" si="128"/>
        <v>451.79999999999995</v>
      </c>
      <c r="BH251">
        <f t="shared" si="129"/>
        <v>295.39999999999998</v>
      </c>
      <c r="BI251">
        <f t="shared" si="130"/>
        <v>465.09999999999997</v>
      </c>
      <c r="BJ251">
        <f t="shared" si="131"/>
        <v>464.4</v>
      </c>
      <c r="BK251">
        <f t="shared" si="132"/>
        <v>284.89999999999998</v>
      </c>
    </row>
    <row r="252" spans="1:63" x14ac:dyDescent="0.35">
      <c r="A252" t="s">
        <v>33</v>
      </c>
      <c r="B252">
        <v>2019</v>
      </c>
      <c r="C252" t="s">
        <v>46</v>
      </c>
      <c r="D252">
        <v>144.9</v>
      </c>
      <c r="E252">
        <v>164.5</v>
      </c>
      <c r="F252">
        <v>153.69999999999999</v>
      </c>
      <c r="G252">
        <v>147.5</v>
      </c>
      <c r="H252">
        <v>122.7</v>
      </c>
      <c r="I252">
        <v>147.19999999999999</v>
      </c>
      <c r="J252">
        <v>231.5</v>
      </c>
      <c r="K252">
        <v>137.19999999999999</v>
      </c>
      <c r="L252">
        <v>114.7</v>
      </c>
      <c r="M252">
        <v>148</v>
      </c>
      <c r="N252">
        <v>130.80000000000001</v>
      </c>
      <c r="O252">
        <v>157.69999999999999</v>
      </c>
      <c r="P252">
        <v>156.30000000000001</v>
      </c>
      <c r="Q252">
        <v>170.4</v>
      </c>
      <c r="R252">
        <v>146.80000000000001</v>
      </c>
      <c r="S252">
        <v>132.80000000000001</v>
      </c>
      <c r="T252">
        <v>144.6</v>
      </c>
      <c r="U252">
        <v>152.80000000000001</v>
      </c>
      <c r="V252">
        <v>133.6</v>
      </c>
      <c r="W252">
        <v>139.80000000000001</v>
      </c>
      <c r="X252">
        <v>143.19999999999999</v>
      </c>
      <c r="Y252">
        <v>125.2</v>
      </c>
      <c r="Z252">
        <v>136.80000000000001</v>
      </c>
      <c r="AA252">
        <v>151.9</v>
      </c>
      <c r="AB252">
        <v>140.19999999999999</v>
      </c>
      <c r="AC252">
        <v>137.69999999999999</v>
      </c>
      <c r="AD252">
        <v>148.30000000000001</v>
      </c>
      <c r="AE252">
        <f t="shared" si="100"/>
        <v>144.9</v>
      </c>
      <c r="AF252">
        <f t="shared" si="101"/>
        <v>164.5</v>
      </c>
      <c r="AG252">
        <f t="shared" si="102"/>
        <v>153.69999999999999</v>
      </c>
      <c r="AH252">
        <f t="shared" si="103"/>
        <v>147.5</v>
      </c>
      <c r="AI252">
        <f t="shared" si="104"/>
        <v>122.7</v>
      </c>
      <c r="AJ252">
        <f t="shared" si="105"/>
        <v>147.19999999999999</v>
      </c>
      <c r="AK252">
        <f t="shared" si="106"/>
        <v>231.5</v>
      </c>
      <c r="AL252">
        <f t="shared" si="107"/>
        <v>137.19999999999999</v>
      </c>
      <c r="AM252">
        <f t="shared" si="108"/>
        <v>114.7</v>
      </c>
      <c r="AN252">
        <f t="shared" si="109"/>
        <v>148</v>
      </c>
      <c r="AO252">
        <f t="shared" si="110"/>
        <v>130.80000000000001</v>
      </c>
      <c r="AP252">
        <f t="shared" si="111"/>
        <v>157.69999999999999</v>
      </c>
      <c r="AQ252">
        <f t="shared" si="112"/>
        <v>156.30000000000001</v>
      </c>
      <c r="AR252">
        <f t="shared" si="113"/>
        <v>170.4</v>
      </c>
      <c r="AS252">
        <f t="shared" si="114"/>
        <v>146.80000000000001</v>
      </c>
      <c r="AT252">
        <f t="shared" si="115"/>
        <v>132.80000000000001</v>
      </c>
      <c r="AU252">
        <f t="shared" si="116"/>
        <v>144.6</v>
      </c>
      <c r="AV252">
        <f t="shared" si="117"/>
        <v>152.80000000000001</v>
      </c>
      <c r="AW252">
        <f t="shared" si="118"/>
        <v>133.6</v>
      </c>
      <c r="AX252">
        <f t="shared" si="119"/>
        <v>139.80000000000001</v>
      </c>
      <c r="AY252">
        <f t="shared" si="120"/>
        <v>143.19999999999999</v>
      </c>
      <c r="AZ252">
        <f t="shared" si="121"/>
        <v>125.2</v>
      </c>
      <c r="BA252">
        <f t="shared" si="122"/>
        <v>136.80000000000001</v>
      </c>
      <c r="BB252">
        <f t="shared" si="123"/>
        <v>151.9</v>
      </c>
      <c r="BC252">
        <f t="shared" si="124"/>
        <v>140.19999999999999</v>
      </c>
      <c r="BD252">
        <f t="shared" si="125"/>
        <v>137.69999999999999</v>
      </c>
      <c r="BE252">
        <f t="shared" si="126"/>
        <v>148.30000000000001</v>
      </c>
      <c r="BF252">
        <f t="shared" si="127"/>
        <v>1956.7</v>
      </c>
      <c r="BG252">
        <f t="shared" si="128"/>
        <v>424.20000000000005</v>
      </c>
      <c r="BH252">
        <f t="shared" si="129"/>
        <v>283.39999999999998</v>
      </c>
      <c r="BI252">
        <f t="shared" si="130"/>
        <v>444.50000000000006</v>
      </c>
      <c r="BJ252">
        <f t="shared" si="131"/>
        <v>444.90000000000003</v>
      </c>
      <c r="BK252">
        <f t="shared" si="132"/>
        <v>258.8</v>
      </c>
    </row>
    <row r="253" spans="1:63" x14ac:dyDescent="0.35">
      <c r="A253" t="s">
        <v>34</v>
      </c>
      <c r="B253">
        <v>2019</v>
      </c>
      <c r="C253" t="s">
        <v>46</v>
      </c>
      <c r="D253">
        <v>143.5</v>
      </c>
      <c r="E253">
        <v>165</v>
      </c>
      <c r="F253">
        <v>151.1</v>
      </c>
      <c r="G253">
        <v>148.30000000000001</v>
      </c>
      <c r="H253">
        <v>125.7</v>
      </c>
      <c r="I253">
        <v>145.69999999999999</v>
      </c>
      <c r="J253">
        <v>217</v>
      </c>
      <c r="K253">
        <v>138.30000000000001</v>
      </c>
      <c r="L253">
        <v>114</v>
      </c>
      <c r="M253">
        <v>148.69999999999999</v>
      </c>
      <c r="N253">
        <v>135.80000000000001</v>
      </c>
      <c r="O253">
        <v>158</v>
      </c>
      <c r="P253">
        <v>155</v>
      </c>
      <c r="Q253">
        <v>168.5</v>
      </c>
      <c r="R253">
        <v>150.30000000000001</v>
      </c>
      <c r="S253">
        <v>141.30000000000001</v>
      </c>
      <c r="T253">
        <v>149</v>
      </c>
      <c r="U253">
        <v>152.80000000000001</v>
      </c>
      <c r="V253">
        <v>143.69999999999999</v>
      </c>
      <c r="W253">
        <v>145.80000000000001</v>
      </c>
      <c r="X253">
        <v>150.4</v>
      </c>
      <c r="Y253">
        <v>129.80000000000001</v>
      </c>
      <c r="Z253">
        <v>142.30000000000001</v>
      </c>
      <c r="AA253">
        <v>155.69999999999999</v>
      </c>
      <c r="AB253">
        <v>140.4</v>
      </c>
      <c r="AC253">
        <v>142.5</v>
      </c>
      <c r="AD253">
        <v>150.4</v>
      </c>
      <c r="AE253">
        <f t="shared" si="100"/>
        <v>143.5</v>
      </c>
      <c r="AF253">
        <f t="shared" si="101"/>
        <v>165</v>
      </c>
      <c r="AG253">
        <f t="shared" si="102"/>
        <v>151.1</v>
      </c>
      <c r="AH253">
        <f t="shared" si="103"/>
        <v>148.30000000000001</v>
      </c>
      <c r="AI253">
        <f t="shared" si="104"/>
        <v>125.7</v>
      </c>
      <c r="AJ253">
        <f t="shared" si="105"/>
        <v>145.69999999999999</v>
      </c>
      <c r="AK253">
        <f t="shared" si="106"/>
        <v>217</v>
      </c>
      <c r="AL253">
        <f t="shared" si="107"/>
        <v>138.30000000000001</v>
      </c>
      <c r="AM253">
        <f t="shared" si="108"/>
        <v>114</v>
      </c>
      <c r="AN253">
        <f t="shared" si="109"/>
        <v>148.69999999999999</v>
      </c>
      <c r="AO253">
        <f t="shared" si="110"/>
        <v>135.80000000000001</v>
      </c>
      <c r="AP253">
        <f t="shared" si="111"/>
        <v>158</v>
      </c>
      <c r="AQ253">
        <f t="shared" si="112"/>
        <v>155</v>
      </c>
      <c r="AR253">
        <f t="shared" si="113"/>
        <v>168.5</v>
      </c>
      <c r="AS253">
        <f t="shared" si="114"/>
        <v>150.30000000000001</v>
      </c>
      <c r="AT253">
        <f t="shared" si="115"/>
        <v>141.30000000000001</v>
      </c>
      <c r="AU253">
        <f t="shared" si="116"/>
        <v>149</v>
      </c>
      <c r="AV253">
        <f t="shared" si="117"/>
        <v>152.80000000000001</v>
      </c>
      <c r="AW253">
        <f t="shared" si="118"/>
        <v>143.69999999999999</v>
      </c>
      <c r="AX253">
        <f t="shared" si="119"/>
        <v>145.80000000000001</v>
      </c>
      <c r="AY253">
        <f t="shared" si="120"/>
        <v>150.4</v>
      </c>
      <c r="AZ253">
        <f t="shared" si="121"/>
        <v>129.80000000000001</v>
      </c>
      <c r="BA253">
        <f t="shared" si="122"/>
        <v>142.30000000000001</v>
      </c>
      <c r="BB253">
        <f t="shared" si="123"/>
        <v>155.69999999999999</v>
      </c>
      <c r="BC253">
        <f t="shared" si="124"/>
        <v>140.4</v>
      </c>
      <c r="BD253">
        <f t="shared" si="125"/>
        <v>142.5</v>
      </c>
      <c r="BE253">
        <f t="shared" si="126"/>
        <v>150.4</v>
      </c>
      <c r="BF253">
        <f t="shared" si="127"/>
        <v>1946.1000000000001</v>
      </c>
      <c r="BG253">
        <f t="shared" si="128"/>
        <v>440.6</v>
      </c>
      <c r="BH253">
        <f t="shared" si="129"/>
        <v>290.8</v>
      </c>
      <c r="BI253">
        <f t="shared" si="130"/>
        <v>454.3</v>
      </c>
      <c r="BJ253">
        <f t="shared" si="131"/>
        <v>453.3</v>
      </c>
      <c r="BK253">
        <f t="shared" si="132"/>
        <v>273.5</v>
      </c>
    </row>
    <row r="254" spans="1:63" x14ac:dyDescent="0.35">
      <c r="A254" t="s">
        <v>30</v>
      </c>
      <c r="B254">
        <v>2020</v>
      </c>
      <c r="C254" t="s">
        <v>31</v>
      </c>
      <c r="D254">
        <v>143.69999999999999</v>
      </c>
      <c r="E254">
        <v>167.3</v>
      </c>
      <c r="F254">
        <v>153.5</v>
      </c>
      <c r="G254">
        <v>150.5</v>
      </c>
      <c r="H254">
        <v>132</v>
      </c>
      <c r="I254">
        <v>142.19999999999999</v>
      </c>
      <c r="J254">
        <v>191.5</v>
      </c>
      <c r="K254">
        <v>141.1</v>
      </c>
      <c r="L254">
        <v>113.8</v>
      </c>
      <c r="M254">
        <v>151.6</v>
      </c>
      <c r="N254">
        <v>139.69999999999999</v>
      </c>
      <c r="O254">
        <v>158.69999999999999</v>
      </c>
      <c r="P254">
        <v>153</v>
      </c>
      <c r="Q254">
        <v>168.6</v>
      </c>
      <c r="R254">
        <v>152.80000000000001</v>
      </c>
      <c r="S254">
        <v>147.4</v>
      </c>
      <c r="T254">
        <v>152.1</v>
      </c>
      <c r="U254" t="s">
        <v>32</v>
      </c>
      <c r="V254">
        <v>150.4</v>
      </c>
      <c r="W254">
        <v>151.69999999999999</v>
      </c>
      <c r="X254">
        <v>155.69999999999999</v>
      </c>
      <c r="Y254">
        <v>136.30000000000001</v>
      </c>
      <c r="Z254">
        <v>150.1</v>
      </c>
      <c r="AA254">
        <v>161.69999999999999</v>
      </c>
      <c r="AB254">
        <v>142.5</v>
      </c>
      <c r="AC254">
        <v>148.1</v>
      </c>
      <c r="AD254">
        <v>151.9</v>
      </c>
      <c r="AE254">
        <f t="shared" si="100"/>
        <v>143.69999999999999</v>
      </c>
      <c r="AF254">
        <f t="shared" si="101"/>
        <v>167.3</v>
      </c>
      <c r="AG254">
        <f t="shared" si="102"/>
        <v>153.5</v>
      </c>
      <c r="AH254">
        <f t="shared" si="103"/>
        <v>150.5</v>
      </c>
      <c r="AI254">
        <f t="shared" si="104"/>
        <v>132</v>
      </c>
      <c r="AJ254">
        <f t="shared" si="105"/>
        <v>142.19999999999999</v>
      </c>
      <c r="AK254">
        <f t="shared" si="106"/>
        <v>191.5</v>
      </c>
      <c r="AL254">
        <f t="shared" si="107"/>
        <v>141.1</v>
      </c>
      <c r="AM254">
        <f t="shared" si="108"/>
        <v>113.8</v>
      </c>
      <c r="AN254">
        <f t="shared" si="109"/>
        <v>151.6</v>
      </c>
      <c r="AO254">
        <f t="shared" si="110"/>
        <v>139.69999999999999</v>
      </c>
      <c r="AP254">
        <f t="shared" si="111"/>
        <v>158.69999999999999</v>
      </c>
      <c r="AQ254">
        <f t="shared" si="112"/>
        <v>153</v>
      </c>
      <c r="AR254">
        <f t="shared" si="113"/>
        <v>168.6</v>
      </c>
      <c r="AS254">
        <f t="shared" si="114"/>
        <v>152.80000000000001</v>
      </c>
      <c r="AT254">
        <f t="shared" si="115"/>
        <v>147.4</v>
      </c>
      <c r="AU254">
        <f t="shared" si="116"/>
        <v>152.1</v>
      </c>
      <c r="AV254">
        <f t="shared" si="117"/>
        <v>153.9</v>
      </c>
      <c r="AW254">
        <f t="shared" si="118"/>
        <v>150.4</v>
      </c>
      <c r="AX254">
        <f t="shared" si="119"/>
        <v>151.69999999999999</v>
      </c>
      <c r="AY254">
        <f t="shared" si="120"/>
        <v>155.69999999999999</v>
      </c>
      <c r="AZ254">
        <f t="shared" si="121"/>
        <v>136.30000000000001</v>
      </c>
      <c r="BA254">
        <f t="shared" si="122"/>
        <v>150.1</v>
      </c>
      <c r="BB254">
        <f t="shared" si="123"/>
        <v>161.69999999999999</v>
      </c>
      <c r="BC254">
        <f t="shared" si="124"/>
        <v>142.5</v>
      </c>
      <c r="BD254">
        <f t="shared" si="125"/>
        <v>148.1</v>
      </c>
      <c r="BE254">
        <f t="shared" si="126"/>
        <v>151.9</v>
      </c>
      <c r="BF254">
        <f t="shared" si="127"/>
        <v>1938.6</v>
      </c>
      <c r="BG254">
        <f t="shared" si="128"/>
        <v>452.30000000000007</v>
      </c>
      <c r="BH254">
        <f t="shared" si="129"/>
        <v>298.2</v>
      </c>
      <c r="BI254">
        <f t="shared" si="130"/>
        <v>467.29999999999995</v>
      </c>
      <c r="BJ254">
        <f t="shared" si="131"/>
        <v>466.79999999999995</v>
      </c>
      <c r="BK254">
        <f t="shared" si="132"/>
        <v>286.70000000000005</v>
      </c>
    </row>
    <row r="255" spans="1:63" x14ac:dyDescent="0.35">
      <c r="A255" t="s">
        <v>33</v>
      </c>
      <c r="B255">
        <v>2020</v>
      </c>
      <c r="C255" t="s">
        <v>31</v>
      </c>
      <c r="D255">
        <v>145.6</v>
      </c>
      <c r="E255">
        <v>167.6</v>
      </c>
      <c r="F255">
        <v>157</v>
      </c>
      <c r="G255">
        <v>149.30000000000001</v>
      </c>
      <c r="H255">
        <v>126.3</v>
      </c>
      <c r="I255">
        <v>144.4</v>
      </c>
      <c r="J255">
        <v>207.8</v>
      </c>
      <c r="K255">
        <v>139.1</v>
      </c>
      <c r="L255">
        <v>114.8</v>
      </c>
      <c r="M255">
        <v>149.5</v>
      </c>
      <c r="N255">
        <v>131.1</v>
      </c>
      <c r="O255">
        <v>158.5</v>
      </c>
      <c r="P255">
        <v>154.4</v>
      </c>
      <c r="Q255">
        <v>170.8</v>
      </c>
      <c r="R255">
        <v>147</v>
      </c>
      <c r="S255">
        <v>133.19999999999999</v>
      </c>
      <c r="T255">
        <v>144.9</v>
      </c>
      <c r="U255">
        <v>153.9</v>
      </c>
      <c r="V255">
        <v>135.1</v>
      </c>
      <c r="W255">
        <v>140.1</v>
      </c>
      <c r="X255">
        <v>143.80000000000001</v>
      </c>
      <c r="Y255">
        <v>126.1</v>
      </c>
      <c r="Z255">
        <v>137.19999999999999</v>
      </c>
      <c r="AA255">
        <v>152.1</v>
      </c>
      <c r="AB255">
        <v>142.1</v>
      </c>
      <c r="AC255">
        <v>138.4</v>
      </c>
      <c r="AD255">
        <v>148.19999999999999</v>
      </c>
      <c r="AE255">
        <f t="shared" si="100"/>
        <v>145.6</v>
      </c>
      <c r="AF255">
        <f t="shared" si="101"/>
        <v>167.6</v>
      </c>
      <c r="AG255">
        <f t="shared" si="102"/>
        <v>157</v>
      </c>
      <c r="AH255">
        <f t="shared" si="103"/>
        <v>149.30000000000001</v>
      </c>
      <c r="AI255">
        <f t="shared" si="104"/>
        <v>126.3</v>
      </c>
      <c r="AJ255">
        <f t="shared" si="105"/>
        <v>144.4</v>
      </c>
      <c r="AK255">
        <f t="shared" si="106"/>
        <v>207.8</v>
      </c>
      <c r="AL255">
        <f t="shared" si="107"/>
        <v>139.1</v>
      </c>
      <c r="AM255">
        <f t="shared" si="108"/>
        <v>114.8</v>
      </c>
      <c r="AN255">
        <f t="shared" si="109"/>
        <v>149.5</v>
      </c>
      <c r="AO255">
        <f t="shared" si="110"/>
        <v>131.1</v>
      </c>
      <c r="AP255">
        <f t="shared" si="111"/>
        <v>158.5</v>
      </c>
      <c r="AQ255">
        <f t="shared" si="112"/>
        <v>154.4</v>
      </c>
      <c r="AR255">
        <f t="shared" si="113"/>
        <v>170.8</v>
      </c>
      <c r="AS255">
        <f t="shared" si="114"/>
        <v>147</v>
      </c>
      <c r="AT255">
        <f t="shared" si="115"/>
        <v>133.19999999999999</v>
      </c>
      <c r="AU255">
        <f t="shared" si="116"/>
        <v>144.9</v>
      </c>
      <c r="AV255">
        <f t="shared" si="117"/>
        <v>153.9</v>
      </c>
      <c r="AW255">
        <f t="shared" si="118"/>
        <v>135.1</v>
      </c>
      <c r="AX255">
        <f t="shared" si="119"/>
        <v>140.1</v>
      </c>
      <c r="AY255">
        <f t="shared" si="120"/>
        <v>143.80000000000001</v>
      </c>
      <c r="AZ255">
        <f t="shared" si="121"/>
        <v>126.1</v>
      </c>
      <c r="BA255">
        <f t="shared" si="122"/>
        <v>137.19999999999999</v>
      </c>
      <c r="BB255">
        <f t="shared" si="123"/>
        <v>152.1</v>
      </c>
      <c r="BC255">
        <f t="shared" si="124"/>
        <v>142.1</v>
      </c>
      <c r="BD255">
        <f t="shared" si="125"/>
        <v>138.4</v>
      </c>
      <c r="BE255">
        <f t="shared" si="126"/>
        <v>148.19999999999999</v>
      </c>
      <c r="BF255">
        <f t="shared" si="127"/>
        <v>1945.3999999999999</v>
      </c>
      <c r="BG255">
        <f t="shared" si="128"/>
        <v>425.1</v>
      </c>
      <c r="BH255">
        <f t="shared" si="129"/>
        <v>285.89999999999998</v>
      </c>
      <c r="BI255">
        <f t="shared" si="130"/>
        <v>446.1</v>
      </c>
      <c r="BJ255">
        <f t="shared" si="131"/>
        <v>446.4</v>
      </c>
      <c r="BK255">
        <f t="shared" si="132"/>
        <v>261.2</v>
      </c>
    </row>
    <row r="256" spans="1:63" x14ac:dyDescent="0.35">
      <c r="A256" t="s">
        <v>34</v>
      </c>
      <c r="B256">
        <v>2020</v>
      </c>
      <c r="C256" t="s">
        <v>31</v>
      </c>
      <c r="D256">
        <v>144.30000000000001</v>
      </c>
      <c r="E256">
        <v>167.4</v>
      </c>
      <c r="F256">
        <v>154.9</v>
      </c>
      <c r="G256">
        <v>150.1</v>
      </c>
      <c r="H256">
        <v>129.9</v>
      </c>
      <c r="I256">
        <v>143.19999999999999</v>
      </c>
      <c r="J256">
        <v>197</v>
      </c>
      <c r="K256">
        <v>140.4</v>
      </c>
      <c r="L256">
        <v>114.1</v>
      </c>
      <c r="M256">
        <v>150.9</v>
      </c>
      <c r="N256">
        <v>136.1</v>
      </c>
      <c r="O256">
        <v>158.6</v>
      </c>
      <c r="P256">
        <v>153.5</v>
      </c>
      <c r="Q256">
        <v>169.2</v>
      </c>
      <c r="R256">
        <v>150.5</v>
      </c>
      <c r="S256">
        <v>141.5</v>
      </c>
      <c r="T256">
        <v>149.19999999999999</v>
      </c>
      <c r="U256">
        <v>153.9</v>
      </c>
      <c r="V256">
        <v>144.6</v>
      </c>
      <c r="W256">
        <v>146.19999999999999</v>
      </c>
      <c r="X256">
        <v>151.19999999999999</v>
      </c>
      <c r="Y256">
        <v>130.9</v>
      </c>
      <c r="Z256">
        <v>142.80000000000001</v>
      </c>
      <c r="AA256">
        <v>156.1</v>
      </c>
      <c r="AB256">
        <v>142.30000000000001</v>
      </c>
      <c r="AC256">
        <v>143.4</v>
      </c>
      <c r="AD256">
        <v>150.19999999999999</v>
      </c>
      <c r="AE256">
        <f t="shared" si="100"/>
        <v>144.30000000000001</v>
      </c>
      <c r="AF256">
        <f t="shared" si="101"/>
        <v>167.4</v>
      </c>
      <c r="AG256">
        <f t="shared" si="102"/>
        <v>154.9</v>
      </c>
      <c r="AH256">
        <f t="shared" si="103"/>
        <v>150.1</v>
      </c>
      <c r="AI256">
        <f t="shared" si="104"/>
        <v>129.9</v>
      </c>
      <c r="AJ256">
        <f t="shared" si="105"/>
        <v>143.19999999999999</v>
      </c>
      <c r="AK256">
        <f t="shared" si="106"/>
        <v>197</v>
      </c>
      <c r="AL256">
        <f t="shared" si="107"/>
        <v>140.4</v>
      </c>
      <c r="AM256">
        <f t="shared" si="108"/>
        <v>114.1</v>
      </c>
      <c r="AN256">
        <f t="shared" si="109"/>
        <v>150.9</v>
      </c>
      <c r="AO256">
        <f t="shared" si="110"/>
        <v>136.1</v>
      </c>
      <c r="AP256">
        <f t="shared" si="111"/>
        <v>158.6</v>
      </c>
      <c r="AQ256">
        <f t="shared" si="112"/>
        <v>153.5</v>
      </c>
      <c r="AR256">
        <f t="shared" si="113"/>
        <v>169.2</v>
      </c>
      <c r="AS256">
        <f t="shared" si="114"/>
        <v>150.5</v>
      </c>
      <c r="AT256">
        <f t="shared" si="115"/>
        <v>141.5</v>
      </c>
      <c r="AU256">
        <f t="shared" si="116"/>
        <v>149.19999999999999</v>
      </c>
      <c r="AV256">
        <f t="shared" si="117"/>
        <v>153.9</v>
      </c>
      <c r="AW256">
        <f t="shared" si="118"/>
        <v>144.6</v>
      </c>
      <c r="AX256">
        <f t="shared" si="119"/>
        <v>146.19999999999999</v>
      </c>
      <c r="AY256">
        <f t="shared" si="120"/>
        <v>151.19999999999999</v>
      </c>
      <c r="AZ256">
        <f t="shared" si="121"/>
        <v>130.9</v>
      </c>
      <c r="BA256">
        <f t="shared" si="122"/>
        <v>142.80000000000001</v>
      </c>
      <c r="BB256">
        <f t="shared" si="123"/>
        <v>156.1</v>
      </c>
      <c r="BC256">
        <f t="shared" si="124"/>
        <v>142.30000000000001</v>
      </c>
      <c r="BD256">
        <f t="shared" si="125"/>
        <v>143.4</v>
      </c>
      <c r="BE256">
        <f t="shared" si="126"/>
        <v>150.19999999999999</v>
      </c>
      <c r="BF256">
        <f t="shared" si="127"/>
        <v>1940.3999999999999</v>
      </c>
      <c r="BG256">
        <f t="shared" si="128"/>
        <v>441.2</v>
      </c>
      <c r="BH256">
        <f t="shared" si="129"/>
        <v>293.5</v>
      </c>
      <c r="BI256">
        <f t="shared" si="130"/>
        <v>456.19999999999993</v>
      </c>
      <c r="BJ256">
        <f t="shared" si="131"/>
        <v>455.4</v>
      </c>
      <c r="BK256">
        <f t="shared" si="132"/>
        <v>275.5</v>
      </c>
    </row>
    <row r="257" spans="1:63" x14ac:dyDescent="0.35">
      <c r="A257" t="s">
        <v>30</v>
      </c>
      <c r="B257">
        <v>2020</v>
      </c>
      <c r="C257" t="s">
        <v>35</v>
      </c>
      <c r="D257">
        <v>144.19999999999999</v>
      </c>
      <c r="E257">
        <v>167.5</v>
      </c>
      <c r="F257">
        <v>150.9</v>
      </c>
      <c r="G257">
        <v>150.9</v>
      </c>
      <c r="H257">
        <v>133.69999999999999</v>
      </c>
      <c r="I257">
        <v>140.69999999999999</v>
      </c>
      <c r="J257">
        <v>165.1</v>
      </c>
      <c r="K257">
        <v>141.80000000000001</v>
      </c>
      <c r="L257">
        <v>113.1</v>
      </c>
      <c r="M257">
        <v>152.80000000000001</v>
      </c>
      <c r="N257">
        <v>140.1</v>
      </c>
      <c r="O257">
        <v>159.19999999999999</v>
      </c>
      <c r="P257">
        <v>149.80000000000001</v>
      </c>
      <c r="Q257">
        <v>169.4</v>
      </c>
      <c r="R257">
        <v>153</v>
      </c>
      <c r="S257">
        <v>147.5</v>
      </c>
      <c r="T257">
        <v>152.30000000000001</v>
      </c>
      <c r="U257" t="s">
        <v>32</v>
      </c>
      <c r="V257">
        <v>152.30000000000001</v>
      </c>
      <c r="W257">
        <v>151.80000000000001</v>
      </c>
      <c r="X257">
        <v>156.19999999999999</v>
      </c>
      <c r="Y257">
        <v>136</v>
      </c>
      <c r="Z257">
        <v>150.4</v>
      </c>
      <c r="AA257">
        <v>161.9</v>
      </c>
      <c r="AB257">
        <v>143.4</v>
      </c>
      <c r="AC257">
        <v>148.4</v>
      </c>
      <c r="AD257">
        <v>150.4</v>
      </c>
      <c r="AE257">
        <f t="shared" si="100"/>
        <v>144.19999999999999</v>
      </c>
      <c r="AF257">
        <f t="shared" si="101"/>
        <v>167.5</v>
      </c>
      <c r="AG257">
        <f t="shared" si="102"/>
        <v>150.9</v>
      </c>
      <c r="AH257">
        <f t="shared" si="103"/>
        <v>150.9</v>
      </c>
      <c r="AI257">
        <f t="shared" si="104"/>
        <v>133.69999999999999</v>
      </c>
      <c r="AJ257">
        <f t="shared" si="105"/>
        <v>140.69999999999999</v>
      </c>
      <c r="AK257">
        <f t="shared" si="106"/>
        <v>165.1</v>
      </c>
      <c r="AL257">
        <f t="shared" si="107"/>
        <v>141.80000000000001</v>
      </c>
      <c r="AM257">
        <f t="shared" si="108"/>
        <v>113.1</v>
      </c>
      <c r="AN257">
        <f t="shared" si="109"/>
        <v>152.80000000000001</v>
      </c>
      <c r="AO257">
        <f t="shared" si="110"/>
        <v>140.1</v>
      </c>
      <c r="AP257">
        <f t="shared" si="111"/>
        <v>159.19999999999999</v>
      </c>
      <c r="AQ257">
        <f t="shared" si="112"/>
        <v>149.80000000000001</v>
      </c>
      <c r="AR257">
        <f t="shared" si="113"/>
        <v>169.4</v>
      </c>
      <c r="AS257">
        <f t="shared" si="114"/>
        <v>153</v>
      </c>
      <c r="AT257">
        <f t="shared" si="115"/>
        <v>147.5</v>
      </c>
      <c r="AU257">
        <f t="shared" si="116"/>
        <v>152.30000000000001</v>
      </c>
      <c r="AV257">
        <f t="shared" si="117"/>
        <v>154.80000000000001</v>
      </c>
      <c r="AW257">
        <f t="shared" si="118"/>
        <v>152.30000000000001</v>
      </c>
      <c r="AX257">
        <f t="shared" si="119"/>
        <v>151.80000000000001</v>
      </c>
      <c r="AY257">
        <f t="shared" si="120"/>
        <v>156.19999999999999</v>
      </c>
      <c r="AZ257">
        <f t="shared" si="121"/>
        <v>136</v>
      </c>
      <c r="BA257">
        <f t="shared" si="122"/>
        <v>150.4</v>
      </c>
      <c r="BB257">
        <f t="shared" si="123"/>
        <v>161.9</v>
      </c>
      <c r="BC257">
        <f t="shared" si="124"/>
        <v>143.4</v>
      </c>
      <c r="BD257">
        <f t="shared" si="125"/>
        <v>148.4</v>
      </c>
      <c r="BE257">
        <f t="shared" si="126"/>
        <v>150.4</v>
      </c>
      <c r="BF257">
        <f t="shared" si="127"/>
        <v>1909.7999999999997</v>
      </c>
      <c r="BG257">
        <f t="shared" si="128"/>
        <v>452.8</v>
      </c>
      <c r="BH257">
        <f t="shared" si="129"/>
        <v>299.60000000000002</v>
      </c>
      <c r="BI257">
        <f t="shared" si="130"/>
        <v>468.50000000000006</v>
      </c>
      <c r="BJ257">
        <f t="shared" si="131"/>
        <v>468.20000000000005</v>
      </c>
      <c r="BK257">
        <f t="shared" si="132"/>
        <v>288.3</v>
      </c>
    </row>
    <row r="258" spans="1:63" x14ac:dyDescent="0.35">
      <c r="A258" t="s">
        <v>33</v>
      </c>
      <c r="B258">
        <v>2020</v>
      </c>
      <c r="C258" t="s">
        <v>35</v>
      </c>
      <c r="D258">
        <v>146.19999999999999</v>
      </c>
      <c r="E258">
        <v>167.6</v>
      </c>
      <c r="F258">
        <v>153.1</v>
      </c>
      <c r="G258">
        <v>150.69999999999999</v>
      </c>
      <c r="H258">
        <v>127.4</v>
      </c>
      <c r="I258">
        <v>143.1</v>
      </c>
      <c r="J258">
        <v>181.7</v>
      </c>
      <c r="K258">
        <v>139.6</v>
      </c>
      <c r="L258">
        <v>114.6</v>
      </c>
      <c r="M258">
        <v>150.4</v>
      </c>
      <c r="N258">
        <v>131.5</v>
      </c>
      <c r="O258">
        <v>159</v>
      </c>
      <c r="P258">
        <v>151.69999999999999</v>
      </c>
      <c r="Q258">
        <v>172</v>
      </c>
      <c r="R258">
        <v>147.30000000000001</v>
      </c>
      <c r="S258">
        <v>133.5</v>
      </c>
      <c r="T258">
        <v>145.19999999999999</v>
      </c>
      <c r="U258">
        <v>154.80000000000001</v>
      </c>
      <c r="V258">
        <v>138.9</v>
      </c>
      <c r="W258">
        <v>140.4</v>
      </c>
      <c r="X258">
        <v>144.4</v>
      </c>
      <c r="Y258">
        <v>125.2</v>
      </c>
      <c r="Z258">
        <v>137.69999999999999</v>
      </c>
      <c r="AA258">
        <v>152.19999999999999</v>
      </c>
      <c r="AB258">
        <v>143.5</v>
      </c>
      <c r="AC258">
        <v>138.4</v>
      </c>
      <c r="AD258">
        <v>147.69999999999999</v>
      </c>
      <c r="AE258">
        <f t="shared" si="100"/>
        <v>146.19999999999999</v>
      </c>
      <c r="AF258">
        <f t="shared" si="101"/>
        <v>167.6</v>
      </c>
      <c r="AG258">
        <f t="shared" si="102"/>
        <v>153.1</v>
      </c>
      <c r="AH258">
        <f t="shared" si="103"/>
        <v>150.69999999999999</v>
      </c>
      <c r="AI258">
        <f t="shared" si="104"/>
        <v>127.4</v>
      </c>
      <c r="AJ258">
        <f t="shared" si="105"/>
        <v>143.1</v>
      </c>
      <c r="AK258">
        <f t="shared" si="106"/>
        <v>181.7</v>
      </c>
      <c r="AL258">
        <f t="shared" si="107"/>
        <v>139.6</v>
      </c>
      <c r="AM258">
        <f t="shared" si="108"/>
        <v>114.6</v>
      </c>
      <c r="AN258">
        <f t="shared" si="109"/>
        <v>150.4</v>
      </c>
      <c r="AO258">
        <f t="shared" si="110"/>
        <v>131.5</v>
      </c>
      <c r="AP258">
        <f t="shared" si="111"/>
        <v>159</v>
      </c>
      <c r="AQ258">
        <f t="shared" si="112"/>
        <v>151.69999999999999</v>
      </c>
      <c r="AR258">
        <f t="shared" si="113"/>
        <v>172</v>
      </c>
      <c r="AS258">
        <f t="shared" si="114"/>
        <v>147.30000000000001</v>
      </c>
      <c r="AT258">
        <f t="shared" si="115"/>
        <v>133.5</v>
      </c>
      <c r="AU258">
        <f t="shared" si="116"/>
        <v>145.19999999999999</v>
      </c>
      <c r="AV258">
        <f t="shared" si="117"/>
        <v>154.80000000000001</v>
      </c>
      <c r="AW258">
        <f t="shared" si="118"/>
        <v>138.9</v>
      </c>
      <c r="AX258">
        <f t="shared" si="119"/>
        <v>140.4</v>
      </c>
      <c r="AY258">
        <f t="shared" si="120"/>
        <v>144.4</v>
      </c>
      <c r="AZ258">
        <f t="shared" si="121"/>
        <v>125.2</v>
      </c>
      <c r="BA258">
        <f t="shared" si="122"/>
        <v>137.69999999999999</v>
      </c>
      <c r="BB258">
        <f t="shared" si="123"/>
        <v>152.19999999999999</v>
      </c>
      <c r="BC258">
        <f t="shared" si="124"/>
        <v>143.5</v>
      </c>
      <c r="BD258">
        <f t="shared" si="125"/>
        <v>138.4</v>
      </c>
      <c r="BE258">
        <f t="shared" si="126"/>
        <v>147.69999999999999</v>
      </c>
      <c r="BF258">
        <f t="shared" si="127"/>
        <v>1916.6</v>
      </c>
      <c r="BG258">
        <f t="shared" si="128"/>
        <v>426</v>
      </c>
      <c r="BH258">
        <f t="shared" si="129"/>
        <v>287.89999999999998</v>
      </c>
      <c r="BI258">
        <f t="shared" si="130"/>
        <v>447.40000000000003</v>
      </c>
      <c r="BJ258">
        <f t="shared" si="131"/>
        <v>448.1</v>
      </c>
      <c r="BK258">
        <f t="shared" si="132"/>
        <v>264.10000000000002</v>
      </c>
    </row>
    <row r="259" spans="1:63" x14ac:dyDescent="0.35">
      <c r="A259" t="s">
        <v>34</v>
      </c>
      <c r="B259">
        <v>2020</v>
      </c>
      <c r="C259" t="s">
        <v>35</v>
      </c>
      <c r="D259">
        <v>144.80000000000001</v>
      </c>
      <c r="E259">
        <v>167.5</v>
      </c>
      <c r="F259">
        <v>151.80000000000001</v>
      </c>
      <c r="G259">
        <v>150.80000000000001</v>
      </c>
      <c r="H259">
        <v>131.4</v>
      </c>
      <c r="I259">
        <v>141.80000000000001</v>
      </c>
      <c r="J259">
        <v>170.7</v>
      </c>
      <c r="K259">
        <v>141.1</v>
      </c>
      <c r="L259">
        <v>113.6</v>
      </c>
      <c r="M259">
        <v>152</v>
      </c>
      <c r="N259">
        <v>136.5</v>
      </c>
      <c r="O259">
        <v>159.1</v>
      </c>
      <c r="P259">
        <v>150.5</v>
      </c>
      <c r="Q259">
        <v>170.1</v>
      </c>
      <c r="R259">
        <v>150.80000000000001</v>
      </c>
      <c r="S259">
        <v>141.69999999999999</v>
      </c>
      <c r="T259">
        <v>149.5</v>
      </c>
      <c r="U259">
        <v>154.80000000000001</v>
      </c>
      <c r="V259">
        <v>147.19999999999999</v>
      </c>
      <c r="W259">
        <v>146.4</v>
      </c>
      <c r="X259">
        <v>151.69999999999999</v>
      </c>
      <c r="Y259">
        <v>130.30000000000001</v>
      </c>
      <c r="Z259">
        <v>143.19999999999999</v>
      </c>
      <c r="AA259">
        <v>156.19999999999999</v>
      </c>
      <c r="AB259">
        <v>143.4</v>
      </c>
      <c r="AC259">
        <v>143.6</v>
      </c>
      <c r="AD259">
        <v>149.1</v>
      </c>
      <c r="AE259">
        <f t="shared" si="100"/>
        <v>144.80000000000001</v>
      </c>
      <c r="AF259">
        <f t="shared" si="101"/>
        <v>167.5</v>
      </c>
      <c r="AG259">
        <f t="shared" si="102"/>
        <v>151.80000000000001</v>
      </c>
      <c r="AH259">
        <f t="shared" si="103"/>
        <v>150.80000000000001</v>
      </c>
      <c r="AI259">
        <f t="shared" si="104"/>
        <v>131.4</v>
      </c>
      <c r="AJ259">
        <f t="shared" si="105"/>
        <v>141.80000000000001</v>
      </c>
      <c r="AK259">
        <f t="shared" si="106"/>
        <v>170.7</v>
      </c>
      <c r="AL259">
        <f t="shared" si="107"/>
        <v>141.1</v>
      </c>
      <c r="AM259">
        <f t="shared" si="108"/>
        <v>113.6</v>
      </c>
      <c r="AN259">
        <f t="shared" si="109"/>
        <v>152</v>
      </c>
      <c r="AO259">
        <f t="shared" si="110"/>
        <v>136.5</v>
      </c>
      <c r="AP259">
        <f t="shared" si="111"/>
        <v>159.1</v>
      </c>
      <c r="AQ259">
        <f t="shared" si="112"/>
        <v>150.5</v>
      </c>
      <c r="AR259">
        <f t="shared" si="113"/>
        <v>170.1</v>
      </c>
      <c r="AS259">
        <f t="shared" si="114"/>
        <v>150.80000000000001</v>
      </c>
      <c r="AT259">
        <f t="shared" si="115"/>
        <v>141.69999999999999</v>
      </c>
      <c r="AU259">
        <f t="shared" si="116"/>
        <v>149.5</v>
      </c>
      <c r="AV259">
        <f t="shared" si="117"/>
        <v>154.80000000000001</v>
      </c>
      <c r="AW259">
        <f t="shared" si="118"/>
        <v>147.19999999999999</v>
      </c>
      <c r="AX259">
        <f t="shared" si="119"/>
        <v>146.4</v>
      </c>
      <c r="AY259">
        <f t="shared" si="120"/>
        <v>151.69999999999999</v>
      </c>
      <c r="AZ259">
        <f t="shared" si="121"/>
        <v>130.30000000000001</v>
      </c>
      <c r="BA259">
        <f t="shared" si="122"/>
        <v>143.19999999999999</v>
      </c>
      <c r="BB259">
        <f t="shared" si="123"/>
        <v>156.19999999999999</v>
      </c>
      <c r="BC259">
        <f t="shared" si="124"/>
        <v>143.4</v>
      </c>
      <c r="BD259">
        <f t="shared" si="125"/>
        <v>143.6</v>
      </c>
      <c r="BE259">
        <f t="shared" si="126"/>
        <v>149.1</v>
      </c>
      <c r="BF259">
        <f t="shared" si="127"/>
        <v>1911.6</v>
      </c>
      <c r="BG259">
        <f t="shared" si="128"/>
        <v>442</v>
      </c>
      <c r="BH259">
        <f t="shared" si="129"/>
        <v>295.10000000000002</v>
      </c>
      <c r="BI259">
        <f t="shared" si="130"/>
        <v>457.40000000000003</v>
      </c>
      <c r="BJ259">
        <f t="shared" si="131"/>
        <v>456.9</v>
      </c>
      <c r="BK259">
        <f t="shared" si="132"/>
        <v>277.5</v>
      </c>
    </row>
    <row r="260" spans="1:63" x14ac:dyDescent="0.35">
      <c r="A260" t="s">
        <v>30</v>
      </c>
      <c r="B260">
        <v>2020</v>
      </c>
      <c r="C260" t="s">
        <v>36</v>
      </c>
      <c r="D260">
        <v>144.4</v>
      </c>
      <c r="E260">
        <v>166.8</v>
      </c>
      <c r="F260">
        <v>147.6</v>
      </c>
      <c r="G260">
        <v>151.69999999999999</v>
      </c>
      <c r="H260">
        <v>133.30000000000001</v>
      </c>
      <c r="I260">
        <v>141.80000000000001</v>
      </c>
      <c r="J260">
        <v>152.30000000000001</v>
      </c>
      <c r="K260">
        <v>141.80000000000001</v>
      </c>
      <c r="L260">
        <v>112.6</v>
      </c>
      <c r="M260">
        <v>154</v>
      </c>
      <c r="N260">
        <v>140.1</v>
      </c>
      <c r="O260">
        <v>160</v>
      </c>
      <c r="P260">
        <v>148.19999999999999</v>
      </c>
      <c r="Q260">
        <v>170.5</v>
      </c>
      <c r="R260">
        <v>153.4</v>
      </c>
      <c r="S260">
        <v>147.6</v>
      </c>
      <c r="T260">
        <v>152.5</v>
      </c>
      <c r="U260" t="s">
        <v>32</v>
      </c>
      <c r="V260">
        <v>153.4</v>
      </c>
      <c r="W260">
        <v>151.5</v>
      </c>
      <c r="X260">
        <v>156.69999999999999</v>
      </c>
      <c r="Y260">
        <v>135.80000000000001</v>
      </c>
      <c r="Z260">
        <v>151.19999999999999</v>
      </c>
      <c r="AA260">
        <v>161.19999999999999</v>
      </c>
      <c r="AB260">
        <v>145.1</v>
      </c>
      <c r="AC260">
        <v>148.6</v>
      </c>
      <c r="AD260">
        <v>149.80000000000001</v>
      </c>
      <c r="AE260">
        <f t="shared" si="100"/>
        <v>144.4</v>
      </c>
      <c r="AF260">
        <f t="shared" si="101"/>
        <v>166.8</v>
      </c>
      <c r="AG260">
        <f t="shared" si="102"/>
        <v>147.6</v>
      </c>
      <c r="AH260">
        <f t="shared" si="103"/>
        <v>151.69999999999999</v>
      </c>
      <c r="AI260">
        <f t="shared" si="104"/>
        <v>133.30000000000001</v>
      </c>
      <c r="AJ260">
        <f t="shared" si="105"/>
        <v>141.80000000000001</v>
      </c>
      <c r="AK260">
        <f t="shared" si="106"/>
        <v>152.30000000000001</v>
      </c>
      <c r="AL260">
        <f t="shared" si="107"/>
        <v>141.80000000000001</v>
      </c>
      <c r="AM260">
        <f t="shared" si="108"/>
        <v>112.6</v>
      </c>
      <c r="AN260">
        <f t="shared" si="109"/>
        <v>154</v>
      </c>
      <c r="AO260">
        <f t="shared" si="110"/>
        <v>140.1</v>
      </c>
      <c r="AP260">
        <f t="shared" si="111"/>
        <v>160</v>
      </c>
      <c r="AQ260">
        <f t="shared" si="112"/>
        <v>148.19999999999999</v>
      </c>
      <c r="AR260">
        <f t="shared" si="113"/>
        <v>170.5</v>
      </c>
      <c r="AS260">
        <f t="shared" si="114"/>
        <v>153.4</v>
      </c>
      <c r="AT260">
        <f t="shared" si="115"/>
        <v>147.6</v>
      </c>
      <c r="AU260">
        <f t="shared" si="116"/>
        <v>152.5</v>
      </c>
      <c r="AV260">
        <f t="shared" si="117"/>
        <v>154.5</v>
      </c>
      <c r="AW260">
        <f t="shared" si="118"/>
        <v>153.4</v>
      </c>
      <c r="AX260">
        <f t="shared" si="119"/>
        <v>151.5</v>
      </c>
      <c r="AY260">
        <f t="shared" si="120"/>
        <v>156.69999999999999</v>
      </c>
      <c r="AZ260">
        <f t="shared" si="121"/>
        <v>135.80000000000001</v>
      </c>
      <c r="BA260">
        <f t="shared" si="122"/>
        <v>151.19999999999999</v>
      </c>
      <c r="BB260">
        <f t="shared" si="123"/>
        <v>161.19999999999999</v>
      </c>
      <c r="BC260">
        <f t="shared" si="124"/>
        <v>145.1</v>
      </c>
      <c r="BD260">
        <f t="shared" si="125"/>
        <v>148.6</v>
      </c>
      <c r="BE260">
        <f t="shared" si="126"/>
        <v>149.80000000000001</v>
      </c>
      <c r="BF260">
        <f t="shared" si="127"/>
        <v>1894.5999999999997</v>
      </c>
      <c r="BG260">
        <f t="shared" si="128"/>
        <v>453.5</v>
      </c>
      <c r="BH260">
        <f t="shared" si="129"/>
        <v>301.79999999999995</v>
      </c>
      <c r="BI260">
        <f t="shared" si="130"/>
        <v>467.2</v>
      </c>
      <c r="BJ260">
        <f t="shared" si="131"/>
        <v>470.29999999999995</v>
      </c>
      <c r="BK260">
        <f t="shared" si="132"/>
        <v>289.20000000000005</v>
      </c>
    </row>
    <row r="261" spans="1:63" x14ac:dyDescent="0.35">
      <c r="A261" t="s">
        <v>33</v>
      </c>
      <c r="B261">
        <v>2020</v>
      </c>
      <c r="C261" t="s">
        <v>36</v>
      </c>
      <c r="D261">
        <v>146.5</v>
      </c>
      <c r="E261">
        <v>167.5</v>
      </c>
      <c r="F261">
        <v>148.9</v>
      </c>
      <c r="G261">
        <v>151.1</v>
      </c>
      <c r="H261">
        <v>127.5</v>
      </c>
      <c r="I261">
        <v>143.30000000000001</v>
      </c>
      <c r="J261">
        <v>167</v>
      </c>
      <c r="K261">
        <v>139.69999999999999</v>
      </c>
      <c r="L261">
        <v>114.4</v>
      </c>
      <c r="M261">
        <v>151.5</v>
      </c>
      <c r="N261">
        <v>131.9</v>
      </c>
      <c r="O261">
        <v>159.1</v>
      </c>
      <c r="P261">
        <v>150.1</v>
      </c>
      <c r="Q261">
        <v>173.3</v>
      </c>
      <c r="R261">
        <v>147.69999999999999</v>
      </c>
      <c r="S261">
        <v>133.80000000000001</v>
      </c>
      <c r="T261">
        <v>145.6</v>
      </c>
      <c r="U261">
        <v>154.5</v>
      </c>
      <c r="V261">
        <v>141.4</v>
      </c>
      <c r="W261">
        <v>140.80000000000001</v>
      </c>
      <c r="X261">
        <v>145</v>
      </c>
      <c r="Y261">
        <v>124.6</v>
      </c>
      <c r="Z261">
        <v>137.9</v>
      </c>
      <c r="AA261">
        <v>152.5</v>
      </c>
      <c r="AB261">
        <v>145.30000000000001</v>
      </c>
      <c r="AC261">
        <v>138.69999999999999</v>
      </c>
      <c r="AD261">
        <v>147.30000000000001</v>
      </c>
      <c r="AE261">
        <f t="shared" si="100"/>
        <v>146.5</v>
      </c>
      <c r="AF261">
        <f t="shared" si="101"/>
        <v>167.5</v>
      </c>
      <c r="AG261">
        <f t="shared" si="102"/>
        <v>148.9</v>
      </c>
      <c r="AH261">
        <f t="shared" si="103"/>
        <v>151.1</v>
      </c>
      <c r="AI261">
        <f t="shared" si="104"/>
        <v>127.5</v>
      </c>
      <c r="AJ261">
        <f t="shared" si="105"/>
        <v>143.30000000000001</v>
      </c>
      <c r="AK261">
        <f t="shared" si="106"/>
        <v>167</v>
      </c>
      <c r="AL261">
        <f t="shared" si="107"/>
        <v>139.69999999999999</v>
      </c>
      <c r="AM261">
        <f t="shared" si="108"/>
        <v>114.4</v>
      </c>
      <c r="AN261">
        <f t="shared" si="109"/>
        <v>151.5</v>
      </c>
      <c r="AO261">
        <f t="shared" si="110"/>
        <v>131.9</v>
      </c>
      <c r="AP261">
        <f t="shared" si="111"/>
        <v>159.1</v>
      </c>
      <c r="AQ261">
        <f t="shared" si="112"/>
        <v>150.1</v>
      </c>
      <c r="AR261">
        <f t="shared" si="113"/>
        <v>173.3</v>
      </c>
      <c r="AS261">
        <f t="shared" si="114"/>
        <v>147.69999999999999</v>
      </c>
      <c r="AT261">
        <f t="shared" si="115"/>
        <v>133.80000000000001</v>
      </c>
      <c r="AU261">
        <f t="shared" si="116"/>
        <v>145.6</v>
      </c>
      <c r="AV261">
        <f t="shared" si="117"/>
        <v>154.5</v>
      </c>
      <c r="AW261">
        <f t="shared" si="118"/>
        <v>141.4</v>
      </c>
      <c r="AX261">
        <f t="shared" si="119"/>
        <v>140.80000000000001</v>
      </c>
      <c r="AY261">
        <f t="shared" si="120"/>
        <v>145</v>
      </c>
      <c r="AZ261">
        <f t="shared" si="121"/>
        <v>124.6</v>
      </c>
      <c r="BA261">
        <f t="shared" si="122"/>
        <v>137.9</v>
      </c>
      <c r="BB261">
        <f t="shared" si="123"/>
        <v>152.5</v>
      </c>
      <c r="BC261">
        <f t="shared" si="124"/>
        <v>145.30000000000001</v>
      </c>
      <c r="BD261">
        <f t="shared" si="125"/>
        <v>138.69999999999999</v>
      </c>
      <c r="BE261">
        <f t="shared" si="126"/>
        <v>147.30000000000001</v>
      </c>
      <c r="BF261">
        <f t="shared" si="127"/>
        <v>1898.5</v>
      </c>
      <c r="BG261">
        <f t="shared" si="128"/>
        <v>427.1</v>
      </c>
      <c r="BH261">
        <f t="shared" si="129"/>
        <v>290.3</v>
      </c>
      <c r="BI261">
        <f t="shared" si="130"/>
        <v>447.8</v>
      </c>
      <c r="BJ261">
        <f t="shared" si="131"/>
        <v>449.90000000000003</v>
      </c>
      <c r="BK261">
        <f t="shared" si="132"/>
        <v>266</v>
      </c>
    </row>
    <row r="262" spans="1:63" x14ac:dyDescent="0.35">
      <c r="A262" t="s">
        <v>34</v>
      </c>
      <c r="B262">
        <v>2020</v>
      </c>
      <c r="C262" t="s">
        <v>36</v>
      </c>
      <c r="D262">
        <v>145.1</v>
      </c>
      <c r="E262">
        <v>167</v>
      </c>
      <c r="F262">
        <v>148.1</v>
      </c>
      <c r="G262">
        <v>151.5</v>
      </c>
      <c r="H262">
        <v>131.19999999999999</v>
      </c>
      <c r="I262">
        <v>142.5</v>
      </c>
      <c r="J262">
        <v>157.30000000000001</v>
      </c>
      <c r="K262">
        <v>141.1</v>
      </c>
      <c r="L262">
        <v>113.2</v>
      </c>
      <c r="M262">
        <v>153.19999999999999</v>
      </c>
      <c r="N262">
        <v>136.69999999999999</v>
      </c>
      <c r="O262">
        <v>159.6</v>
      </c>
      <c r="P262">
        <v>148.9</v>
      </c>
      <c r="Q262">
        <v>171.2</v>
      </c>
      <c r="R262">
        <v>151.19999999999999</v>
      </c>
      <c r="S262">
        <v>141.9</v>
      </c>
      <c r="T262">
        <v>149.80000000000001</v>
      </c>
      <c r="U262">
        <v>154.5</v>
      </c>
      <c r="V262">
        <v>148.9</v>
      </c>
      <c r="W262">
        <v>146.4</v>
      </c>
      <c r="X262">
        <v>152.30000000000001</v>
      </c>
      <c r="Y262">
        <v>129.9</v>
      </c>
      <c r="Z262">
        <v>143.69999999999999</v>
      </c>
      <c r="AA262">
        <v>156.1</v>
      </c>
      <c r="AB262">
        <v>145.19999999999999</v>
      </c>
      <c r="AC262">
        <v>143.80000000000001</v>
      </c>
      <c r="AD262">
        <v>148.6</v>
      </c>
      <c r="AE262">
        <f t="shared" ref="AE262:AE325" si="141">D262</f>
        <v>145.1</v>
      </c>
      <c r="AF262">
        <f t="shared" ref="AF262:AF325" si="142">E262</f>
        <v>167</v>
      </c>
      <c r="AG262">
        <f t="shared" ref="AG262:AG325" si="143">F262</f>
        <v>148.1</v>
      </c>
      <c r="AH262">
        <f t="shared" ref="AH262:AH325" si="144">G262</f>
        <v>151.5</v>
      </c>
      <c r="AI262">
        <f t="shared" ref="AI262:AI325" si="145">H262</f>
        <v>131.19999999999999</v>
      </c>
      <c r="AJ262">
        <f t="shared" ref="AJ262:AJ325" si="146">I262</f>
        <v>142.5</v>
      </c>
      <c r="AK262">
        <f t="shared" ref="AK262:AK325" si="147">J262</f>
        <v>157.30000000000001</v>
      </c>
      <c r="AL262">
        <f t="shared" ref="AL262:AL325" si="148">K262</f>
        <v>141.1</v>
      </c>
      <c r="AM262">
        <f t="shared" ref="AM262:AM325" si="149">L262</f>
        <v>113.2</v>
      </c>
      <c r="AN262">
        <f t="shared" ref="AN262:AN325" si="150">M262</f>
        <v>153.19999999999999</v>
      </c>
      <c r="AO262">
        <f t="shared" ref="AO262:AO325" si="151">N262</f>
        <v>136.69999999999999</v>
      </c>
      <c r="AP262">
        <f t="shared" ref="AP262:AP325" si="152">O262</f>
        <v>159.6</v>
      </c>
      <c r="AQ262">
        <f t="shared" ref="AQ262:AQ325" si="153">P262</f>
        <v>148.9</v>
      </c>
      <c r="AR262">
        <f t="shared" ref="AR262:AR325" si="154">Q262</f>
        <v>171.2</v>
      </c>
      <c r="AS262">
        <f t="shared" ref="AS262:AS325" si="155">R262</f>
        <v>151.19999999999999</v>
      </c>
      <c r="AT262">
        <f t="shared" ref="AT262:AT325" si="156">S262</f>
        <v>141.9</v>
      </c>
      <c r="AU262">
        <f t="shared" ref="AU262:AU325" si="157">T262</f>
        <v>149.80000000000001</v>
      </c>
      <c r="AV262">
        <f t="shared" ref="AV262:AV325" si="158">IF(OR(U262="NA",U262="-"),AVERAGE(AV263:AV264),U262)</f>
        <v>154.5</v>
      </c>
      <c r="AW262">
        <f t="shared" ref="AW262:AW325" si="159">V262</f>
        <v>148.9</v>
      </c>
      <c r="AX262">
        <f t="shared" ref="AX262:AX325" si="160">W262</f>
        <v>146.4</v>
      </c>
      <c r="AY262">
        <f t="shared" ref="AY262:AY325" si="161">X262</f>
        <v>152.30000000000001</v>
      </c>
      <c r="AZ262">
        <f t="shared" ref="AZ262:AZ325" si="162">Y262</f>
        <v>129.9</v>
      </c>
      <c r="BA262">
        <f t="shared" ref="BA262:BA325" si="163">Z262</f>
        <v>143.69999999999999</v>
      </c>
      <c r="BB262">
        <f t="shared" ref="BB262:BB325" si="164">AA262</f>
        <v>156.1</v>
      </c>
      <c r="BC262">
        <f t="shared" ref="BC262:BC325" si="165">AB262</f>
        <v>145.19999999999999</v>
      </c>
      <c r="BD262">
        <f t="shared" ref="BD262:BD325" si="166">AC262</f>
        <v>143.80000000000001</v>
      </c>
      <c r="BE262">
        <f t="shared" ref="BE262:BE325" si="167">AD262</f>
        <v>148.6</v>
      </c>
      <c r="BF262">
        <f t="shared" ref="BF262:BF325" si="168">SUM(AE262:AQ262)</f>
        <v>1895.4</v>
      </c>
      <c r="BG262">
        <f t="shared" ref="BG262:BG325" si="169">SUM(AS262:AU262)</f>
        <v>442.90000000000003</v>
      </c>
      <c r="BH262">
        <f t="shared" ref="BH262:BH325" si="170">SUM(AY262+BC262)</f>
        <v>297.5</v>
      </c>
      <c r="BI262">
        <f t="shared" ref="BI262:BI325" si="171">BB262+AX262+AV262</f>
        <v>457</v>
      </c>
      <c r="BJ262">
        <f t="shared" ref="BJ262:BJ325" si="172">SUM(AR262+BA262+BD262)</f>
        <v>458.7</v>
      </c>
      <c r="BK262">
        <f t="shared" ref="BK262:BK325" si="173">AZ262+AW262</f>
        <v>278.8</v>
      </c>
    </row>
    <row r="263" spans="1:63" x14ac:dyDescent="0.35">
      <c r="A263" t="s">
        <v>30</v>
      </c>
      <c r="B263">
        <v>2020</v>
      </c>
      <c r="C263" t="s">
        <v>37</v>
      </c>
      <c r="D263">
        <v>147.19999999999999</v>
      </c>
      <c r="E263" t="s">
        <v>32</v>
      </c>
      <c r="F263">
        <v>146.9</v>
      </c>
      <c r="G263">
        <v>155.6</v>
      </c>
      <c r="H263">
        <v>137.1</v>
      </c>
      <c r="I263">
        <v>147.30000000000001</v>
      </c>
      <c r="J263">
        <v>162.69999999999999</v>
      </c>
      <c r="K263">
        <v>150.19999999999999</v>
      </c>
      <c r="L263">
        <v>119.8</v>
      </c>
      <c r="M263">
        <v>158.69999999999999</v>
      </c>
      <c r="N263">
        <v>139.19999999999999</v>
      </c>
      <c r="O263" t="s">
        <v>32</v>
      </c>
      <c r="P263">
        <v>150.1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>
        <v>148.4</v>
      </c>
      <c r="W263" t="s">
        <v>32</v>
      </c>
      <c r="X263">
        <v>154.30000000000001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>
        <f t="shared" si="141"/>
        <v>147.19999999999999</v>
      </c>
      <c r="AF263">
        <f>IF(E263="NA",AVERAGE(E257:E262),E263)</f>
        <v>167.31666666666669</v>
      </c>
      <c r="AG263">
        <f t="shared" si="143"/>
        <v>146.9</v>
      </c>
      <c r="AH263">
        <f t="shared" si="144"/>
        <v>155.6</v>
      </c>
      <c r="AI263">
        <f t="shared" si="145"/>
        <v>137.1</v>
      </c>
      <c r="AJ263">
        <f t="shared" si="146"/>
        <v>147.30000000000001</v>
      </c>
      <c r="AK263">
        <f t="shared" si="147"/>
        <v>162.69999999999999</v>
      </c>
      <c r="AL263">
        <f t="shared" si="148"/>
        <v>150.19999999999999</v>
      </c>
      <c r="AM263">
        <f t="shared" si="149"/>
        <v>119.8</v>
      </c>
      <c r="AN263">
        <f t="shared" si="150"/>
        <v>158.69999999999999</v>
      </c>
      <c r="AO263">
        <f t="shared" si="151"/>
        <v>139.19999999999999</v>
      </c>
      <c r="AP263">
        <f t="shared" ref="AP263:AP265" si="174">IF(O263="NA",AVERAGE(O257:O262),O263)</f>
        <v>159.33333333333334</v>
      </c>
      <c r="AQ263">
        <f t="shared" si="153"/>
        <v>150.1</v>
      </c>
      <c r="AR263">
        <f t="shared" ref="AR263:AR265" si="175">IF(Q263="NA",AVERAGE(Q257:Q262),Q263)</f>
        <v>171.08333333333334</v>
      </c>
      <c r="AS263">
        <f t="shared" ref="AS263:AS265" si="176">IF(R263="NA",AVERAGE(R257:R262),R263)</f>
        <v>150.56666666666669</v>
      </c>
      <c r="AT263">
        <f t="shared" ref="AT263:AT265" si="177">IF(S263="NA",AVERAGE(S257:S262),S263)</f>
        <v>140.99999999999997</v>
      </c>
      <c r="AU263">
        <f t="shared" ref="AU263:AU265" si="178">IF(T263="NA",AVERAGE(T257:T262),T263)</f>
        <v>149.15</v>
      </c>
      <c r="AV263">
        <f t="shared" si="158"/>
        <v>155.6</v>
      </c>
      <c r="AW263">
        <f t="shared" si="159"/>
        <v>148.4</v>
      </c>
      <c r="AX263">
        <f t="shared" ref="AX263:AX265" si="179">IF(W263="NA",AVERAGE(W257:W262),W263)</f>
        <v>146.21666666666667</v>
      </c>
      <c r="AY263">
        <f t="shared" si="161"/>
        <v>154.30000000000001</v>
      </c>
      <c r="AZ263">
        <f t="shared" ref="AZ263:AZ265" si="180">IF(Y263="NA",AVERAGE(Y257:Y262),Y263)</f>
        <v>130.29999999999998</v>
      </c>
      <c r="BA263">
        <f t="shared" ref="BA263:BA265" si="181">IF(Z263="NA",AVERAGE(Z257:Z262),Z263)</f>
        <v>144.01666666666665</v>
      </c>
      <c r="BB263">
        <f t="shared" ref="BB263:BB265" si="182">IF(AA263="NA",AVERAGE(AA257:AA262),AA263)</f>
        <v>156.68333333333334</v>
      </c>
      <c r="BC263">
        <f t="shared" ref="BC263:BC265" si="183">IF(AB263="NA",AVERAGE(AB257:AB262),AB263)</f>
        <v>144.31666666666669</v>
      </c>
      <c r="BD263">
        <f t="shared" ref="BD263:BD265" si="184">IF(AC263="NA",AVERAGE(AC257:AC262),AC263)</f>
        <v>143.58333333333334</v>
      </c>
      <c r="BE263">
        <f t="shared" ref="BE263:BE265" si="185">IF(AD263="NA",AVERAGE(AD257:AD262),AD263)</f>
        <v>148.81666666666666</v>
      </c>
      <c r="BF263">
        <f t="shared" si="168"/>
        <v>1941.45</v>
      </c>
      <c r="BG263">
        <f t="shared" si="169"/>
        <v>440.7166666666667</v>
      </c>
      <c r="BH263">
        <f t="shared" si="170"/>
        <v>298.61666666666667</v>
      </c>
      <c r="BI263">
        <f t="shared" si="171"/>
        <v>458.5</v>
      </c>
      <c r="BJ263">
        <f t="shared" si="172"/>
        <v>458.68333333333339</v>
      </c>
      <c r="BK263">
        <f t="shared" si="173"/>
        <v>278.7</v>
      </c>
    </row>
    <row r="264" spans="1:63" x14ac:dyDescent="0.35">
      <c r="A264" t="s">
        <v>33</v>
      </c>
      <c r="B264">
        <v>2020</v>
      </c>
      <c r="C264" t="s">
        <v>37</v>
      </c>
      <c r="D264">
        <v>151.80000000000001</v>
      </c>
      <c r="E264" t="s">
        <v>32</v>
      </c>
      <c r="F264">
        <v>151.9</v>
      </c>
      <c r="G264">
        <v>155.5</v>
      </c>
      <c r="H264">
        <v>131.6</v>
      </c>
      <c r="I264">
        <v>152.9</v>
      </c>
      <c r="J264">
        <v>180</v>
      </c>
      <c r="K264">
        <v>150.80000000000001</v>
      </c>
      <c r="L264">
        <v>121.2</v>
      </c>
      <c r="M264">
        <v>154</v>
      </c>
      <c r="N264">
        <v>133.5</v>
      </c>
      <c r="O264" t="s">
        <v>32</v>
      </c>
      <c r="P264">
        <v>153.5</v>
      </c>
      <c r="Q264" t="s">
        <v>32</v>
      </c>
      <c r="R264" t="s">
        <v>32</v>
      </c>
      <c r="S264" t="s">
        <v>32</v>
      </c>
      <c r="T264" t="s">
        <v>32</v>
      </c>
      <c r="U264">
        <v>155.6</v>
      </c>
      <c r="V264">
        <v>137.1</v>
      </c>
      <c r="W264" t="s">
        <v>32</v>
      </c>
      <c r="X264">
        <v>144.80000000000001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>
        <f t="shared" si="141"/>
        <v>151.80000000000001</v>
      </c>
      <c r="AF264">
        <f t="shared" ref="AF264:AF268" si="186">IF(E264="NA",AVERAGE(E258:E263),E264)</f>
        <v>167.28000000000003</v>
      </c>
      <c r="AG264">
        <f t="shared" si="143"/>
        <v>151.9</v>
      </c>
      <c r="AH264">
        <f t="shared" si="144"/>
        <v>155.5</v>
      </c>
      <c r="AI264">
        <f t="shared" si="145"/>
        <v>131.6</v>
      </c>
      <c r="AJ264">
        <f t="shared" si="146"/>
        <v>152.9</v>
      </c>
      <c r="AK264">
        <f t="shared" si="147"/>
        <v>180</v>
      </c>
      <c r="AL264">
        <f t="shared" si="148"/>
        <v>150.80000000000001</v>
      </c>
      <c r="AM264">
        <f t="shared" si="149"/>
        <v>121.2</v>
      </c>
      <c r="AN264">
        <f t="shared" si="150"/>
        <v>154</v>
      </c>
      <c r="AO264">
        <f t="shared" si="151"/>
        <v>133.5</v>
      </c>
      <c r="AP264">
        <f t="shared" si="174"/>
        <v>159.36000000000001</v>
      </c>
      <c r="AQ264">
        <f t="shared" si="153"/>
        <v>153.5</v>
      </c>
      <c r="AR264">
        <f t="shared" si="175"/>
        <v>171.42000000000002</v>
      </c>
      <c r="AS264">
        <f t="shared" si="176"/>
        <v>150.08000000000001</v>
      </c>
      <c r="AT264">
        <f t="shared" si="177"/>
        <v>139.69999999999999</v>
      </c>
      <c r="AU264">
        <f t="shared" si="178"/>
        <v>148.51999999999998</v>
      </c>
      <c r="AV264">
        <f t="shared" si="158"/>
        <v>155.6</v>
      </c>
      <c r="AW264">
        <f t="shared" si="159"/>
        <v>137.1</v>
      </c>
      <c r="AX264">
        <f t="shared" si="179"/>
        <v>145.1</v>
      </c>
      <c r="AY264">
        <f t="shared" si="161"/>
        <v>144.80000000000001</v>
      </c>
      <c r="AZ264">
        <f t="shared" si="180"/>
        <v>129.16</v>
      </c>
      <c r="BA264">
        <f t="shared" si="181"/>
        <v>142.74</v>
      </c>
      <c r="BB264">
        <f t="shared" si="182"/>
        <v>155.63999999999999</v>
      </c>
      <c r="BC264">
        <f t="shared" si="183"/>
        <v>144.5</v>
      </c>
      <c r="BD264">
        <f t="shared" si="184"/>
        <v>142.61999999999998</v>
      </c>
      <c r="BE264">
        <f t="shared" si="185"/>
        <v>148.5</v>
      </c>
      <c r="BF264">
        <f t="shared" si="168"/>
        <v>1963.3400000000001</v>
      </c>
      <c r="BG264">
        <f t="shared" si="169"/>
        <v>438.29999999999995</v>
      </c>
      <c r="BH264">
        <f t="shared" si="170"/>
        <v>289.3</v>
      </c>
      <c r="BI264">
        <f t="shared" si="171"/>
        <v>456.34000000000003</v>
      </c>
      <c r="BJ264">
        <f t="shared" si="172"/>
        <v>456.78</v>
      </c>
      <c r="BK264">
        <f t="shared" si="173"/>
        <v>266.26</v>
      </c>
    </row>
    <row r="265" spans="1:63" x14ac:dyDescent="0.35">
      <c r="A265" t="s">
        <v>34</v>
      </c>
      <c r="B265">
        <v>2020</v>
      </c>
      <c r="C265" t="s">
        <v>37</v>
      </c>
      <c r="D265">
        <v>148.69999999999999</v>
      </c>
      <c r="E265" t="s">
        <v>32</v>
      </c>
      <c r="F265">
        <v>148.80000000000001</v>
      </c>
      <c r="G265">
        <v>155.6</v>
      </c>
      <c r="H265">
        <v>135.1</v>
      </c>
      <c r="I265">
        <v>149.9</v>
      </c>
      <c r="J265">
        <v>168.6</v>
      </c>
      <c r="K265">
        <v>150.4</v>
      </c>
      <c r="L265">
        <v>120.3</v>
      </c>
      <c r="M265">
        <v>157.1</v>
      </c>
      <c r="N265">
        <v>136.80000000000001</v>
      </c>
      <c r="O265" t="s">
        <v>32</v>
      </c>
      <c r="P265">
        <v>151.4</v>
      </c>
      <c r="Q265" t="s">
        <v>32</v>
      </c>
      <c r="R265" t="s">
        <v>32</v>
      </c>
      <c r="S265" t="s">
        <v>32</v>
      </c>
      <c r="T265" t="s">
        <v>32</v>
      </c>
      <c r="U265">
        <v>155.6</v>
      </c>
      <c r="V265">
        <v>144.1</v>
      </c>
      <c r="W265" t="s">
        <v>32</v>
      </c>
      <c r="X265">
        <v>150.69999999999999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>
        <f t="shared" si="141"/>
        <v>148.69999999999999</v>
      </c>
      <c r="AF265">
        <f t="shared" si="186"/>
        <v>167.2</v>
      </c>
      <c r="AG265">
        <f t="shared" si="143"/>
        <v>148.80000000000001</v>
      </c>
      <c r="AH265">
        <f t="shared" si="144"/>
        <v>155.6</v>
      </c>
      <c r="AI265">
        <f t="shared" si="145"/>
        <v>135.1</v>
      </c>
      <c r="AJ265">
        <f t="shared" si="146"/>
        <v>149.9</v>
      </c>
      <c r="AK265">
        <f t="shared" si="147"/>
        <v>168.6</v>
      </c>
      <c r="AL265">
        <f t="shared" si="148"/>
        <v>150.4</v>
      </c>
      <c r="AM265">
        <f t="shared" si="149"/>
        <v>120.3</v>
      </c>
      <c r="AN265">
        <f t="shared" si="150"/>
        <v>157.1</v>
      </c>
      <c r="AO265">
        <f t="shared" si="151"/>
        <v>136.80000000000001</v>
      </c>
      <c r="AP265">
        <f t="shared" si="174"/>
        <v>159.45000000000002</v>
      </c>
      <c r="AQ265">
        <f t="shared" si="153"/>
        <v>151.4</v>
      </c>
      <c r="AR265">
        <f t="shared" si="175"/>
        <v>171.27500000000003</v>
      </c>
      <c r="AS265">
        <f t="shared" si="176"/>
        <v>150.77500000000001</v>
      </c>
      <c r="AT265">
        <f t="shared" si="177"/>
        <v>141.25</v>
      </c>
      <c r="AU265">
        <f t="shared" si="178"/>
        <v>149.35000000000002</v>
      </c>
      <c r="AV265">
        <f t="shared" si="158"/>
        <v>155.6</v>
      </c>
      <c r="AW265">
        <f t="shared" si="159"/>
        <v>144.1</v>
      </c>
      <c r="AX265">
        <f t="shared" si="179"/>
        <v>146.27500000000001</v>
      </c>
      <c r="AY265">
        <f t="shared" si="161"/>
        <v>150.69999999999999</v>
      </c>
      <c r="AZ265">
        <f t="shared" si="180"/>
        <v>130.15</v>
      </c>
      <c r="BA265">
        <f t="shared" si="181"/>
        <v>144</v>
      </c>
      <c r="BB265">
        <f t="shared" si="182"/>
        <v>156.5</v>
      </c>
      <c r="BC265">
        <f t="shared" si="183"/>
        <v>144.75</v>
      </c>
      <c r="BD265">
        <f t="shared" si="184"/>
        <v>143.67500000000001</v>
      </c>
      <c r="BE265">
        <f t="shared" si="185"/>
        <v>148.69999999999999</v>
      </c>
      <c r="BF265">
        <f t="shared" si="168"/>
        <v>1949.35</v>
      </c>
      <c r="BG265">
        <f t="shared" si="169"/>
        <v>441.375</v>
      </c>
      <c r="BH265">
        <f t="shared" si="170"/>
        <v>295.45</v>
      </c>
      <c r="BI265">
        <f t="shared" si="171"/>
        <v>458.375</v>
      </c>
      <c r="BJ265">
        <f t="shared" si="172"/>
        <v>458.95000000000005</v>
      </c>
      <c r="BK265">
        <f t="shared" si="173"/>
        <v>274.25</v>
      </c>
    </row>
    <row r="266" spans="1:63" x14ac:dyDescent="0.35">
      <c r="A266" t="s">
        <v>30</v>
      </c>
      <c r="B266">
        <v>2020</v>
      </c>
      <c r="C266" t="s">
        <v>38</v>
      </c>
      <c r="D266" t="s">
        <v>32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  <c r="AE266">
        <f>IF(D266="NA",AVERAGE(D260:D265),D266)</f>
        <v>147.28333333333333</v>
      </c>
      <c r="AF266">
        <f t="shared" si="186"/>
        <v>167.1</v>
      </c>
      <c r="AG266">
        <f t="shared" ref="AG266:AG268" si="187">IF(F266="NA",AVERAGE(F260:F265),F266)</f>
        <v>148.70000000000002</v>
      </c>
      <c r="AH266">
        <f t="shared" ref="AH266:AH268" si="188">IF(G266="NA",AVERAGE(G260:G265),G266)</f>
        <v>153.5</v>
      </c>
      <c r="AI266">
        <f t="shared" ref="AI266:AI268" si="189">IF(H266="NA",AVERAGE(H260:H265),H266)</f>
        <v>132.63333333333335</v>
      </c>
      <c r="AJ266">
        <f t="shared" ref="AJ266:AJ268" si="190">IF(I266="NA",AVERAGE(I260:I265),I266)</f>
        <v>146.28333333333333</v>
      </c>
      <c r="AK266">
        <f t="shared" ref="AK266:AK268" si="191">IF(J266="NA",AVERAGE(J260:J265),J266)</f>
        <v>164.65</v>
      </c>
      <c r="AL266">
        <f t="shared" ref="AL266:AL268" si="192">IF(K266="NA",AVERAGE(K260:K265),K266)</f>
        <v>145.66666666666666</v>
      </c>
      <c r="AM266">
        <f t="shared" ref="AM266:AM268" si="193">IF(L266="NA",AVERAGE(L260:L265),L266)</f>
        <v>116.91666666666667</v>
      </c>
      <c r="AN266">
        <f t="shared" ref="AN266:AN268" si="194">IF(M266="NA",AVERAGE(M260:M265),M266)</f>
        <v>154.75</v>
      </c>
      <c r="AO266">
        <f t="shared" ref="AO266:AO268" si="195">IF(N266="NA",AVERAGE(N260:N265),N266)</f>
        <v>136.36666666666667</v>
      </c>
      <c r="AP266">
        <f t="shared" ref="AP266:AP268" si="196">IF(O266="NA",AVERAGE(O260:O265),O266)</f>
        <v>159.56666666666669</v>
      </c>
      <c r="AQ266">
        <f t="shared" ref="AQ266:AQ268" si="197">IF(P266="NA",AVERAGE(P260:P265),P266)</f>
        <v>150.36666666666665</v>
      </c>
      <c r="AR266">
        <f t="shared" ref="AR266:AR268" si="198">IF(Q266="NA",AVERAGE(Q260:Q265),Q266)</f>
        <v>171.66666666666666</v>
      </c>
      <c r="AS266">
        <f t="shared" ref="AS266:AS268" si="199">IF(R266="NA",AVERAGE(R260:R265),R266)</f>
        <v>150.76666666666668</v>
      </c>
      <c r="AT266">
        <f t="shared" ref="AT266:AT268" si="200">IF(S266="NA",AVERAGE(S260:S265),S266)</f>
        <v>141.1</v>
      </c>
      <c r="AU266">
        <f t="shared" ref="AU266:AU268" si="201">IF(T266="NA",AVERAGE(T260:T265),T266)</f>
        <v>149.30000000000001</v>
      </c>
      <c r="AV266">
        <f t="shared" si="158"/>
        <v>154.69999999999999</v>
      </c>
      <c r="AW266">
        <f t="shared" ref="AW266:AW268" si="202">IF(V266="NA",AVERAGE(V260:V265),V266)</f>
        <v>145.55000000000001</v>
      </c>
      <c r="AX266">
        <f t="shared" ref="AX266:AX268" si="203">IF(W266="NA",AVERAGE(W260:W265),W266)</f>
        <v>146.23333333333335</v>
      </c>
      <c r="AY266">
        <f t="shared" ref="AY266:AY268" si="204">IF(X266="NA",AVERAGE(X260:X265),X266)</f>
        <v>150.63333333333333</v>
      </c>
      <c r="AZ266">
        <f t="shared" ref="AZ266:AZ268" si="205">IF(Y266="NA",AVERAGE(Y260:Y265),Y266)</f>
        <v>130.1</v>
      </c>
      <c r="BA266">
        <f t="shared" ref="BA266:BA268" si="206">IF(Z266="NA",AVERAGE(Z260:Z265),Z266)</f>
        <v>144.26666666666668</v>
      </c>
      <c r="BB266">
        <f t="shared" ref="BB266:BB268" si="207">IF(AA266="NA",AVERAGE(AA260:AA265),AA266)</f>
        <v>156.6</v>
      </c>
      <c r="BC266">
        <f t="shared" ref="BC266:BC268" si="208">IF(AB266="NA",AVERAGE(AB260:AB265),AB266)</f>
        <v>145.19999999999999</v>
      </c>
      <c r="BD266">
        <f t="shared" ref="BD266:BD268" si="209">IF(AC266="NA",AVERAGE(AC260:AC265),AC266)</f>
        <v>143.69999999999999</v>
      </c>
      <c r="BE266">
        <f t="shared" ref="BE266:BE268" si="210">IF(AD266="NA",AVERAGE(AD260:AD265),AD266)</f>
        <v>148.56666666666669</v>
      </c>
      <c r="BF266">
        <f t="shared" si="168"/>
        <v>1923.7833333333335</v>
      </c>
      <c r="BG266">
        <f t="shared" si="169"/>
        <v>441.16666666666669</v>
      </c>
      <c r="BH266">
        <f t="shared" si="170"/>
        <v>295.83333333333331</v>
      </c>
      <c r="BI266">
        <f t="shared" si="171"/>
        <v>457.53333333333336</v>
      </c>
      <c r="BJ266">
        <f t="shared" si="172"/>
        <v>459.63333333333333</v>
      </c>
      <c r="BK266">
        <f t="shared" si="173"/>
        <v>275.64999999999998</v>
      </c>
    </row>
    <row r="267" spans="1:63" x14ac:dyDescent="0.35">
      <c r="A267" t="s">
        <v>33</v>
      </c>
      <c r="B267">
        <v>2020</v>
      </c>
      <c r="C267" t="s">
        <v>38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  <c r="AE267">
        <f t="shared" ref="AE267:AE268" si="211">IF(D267="NA",AVERAGE(D261:D266),D267)</f>
        <v>147.85999999999999</v>
      </c>
      <c r="AF267">
        <f t="shared" si="186"/>
        <v>167.25</v>
      </c>
      <c r="AG267">
        <f t="shared" si="187"/>
        <v>148.91999999999999</v>
      </c>
      <c r="AH267">
        <f t="shared" si="188"/>
        <v>153.86000000000001</v>
      </c>
      <c r="AI267">
        <f t="shared" si="189"/>
        <v>132.5</v>
      </c>
      <c r="AJ267">
        <f t="shared" si="190"/>
        <v>147.18</v>
      </c>
      <c r="AK267">
        <f t="shared" si="191"/>
        <v>167.12</v>
      </c>
      <c r="AL267">
        <f t="shared" si="192"/>
        <v>146.44</v>
      </c>
      <c r="AM267">
        <f t="shared" si="193"/>
        <v>117.78</v>
      </c>
      <c r="AN267">
        <f t="shared" si="194"/>
        <v>154.9</v>
      </c>
      <c r="AO267">
        <f t="shared" si="195"/>
        <v>135.61999999999998</v>
      </c>
      <c r="AP267">
        <f t="shared" si="196"/>
        <v>159.35</v>
      </c>
      <c r="AQ267">
        <f t="shared" si="197"/>
        <v>150.80000000000001</v>
      </c>
      <c r="AR267">
        <f t="shared" si="198"/>
        <v>172.25</v>
      </c>
      <c r="AS267">
        <f t="shared" si="199"/>
        <v>149.44999999999999</v>
      </c>
      <c r="AT267">
        <f t="shared" si="200"/>
        <v>137.85000000000002</v>
      </c>
      <c r="AU267">
        <f t="shared" si="201"/>
        <v>147.69999999999999</v>
      </c>
      <c r="AV267">
        <f t="shared" si="158"/>
        <v>154.69999999999999</v>
      </c>
      <c r="AW267">
        <f t="shared" si="202"/>
        <v>143.98000000000002</v>
      </c>
      <c r="AX267">
        <f t="shared" si="203"/>
        <v>143.60000000000002</v>
      </c>
      <c r="AY267">
        <f t="shared" si="204"/>
        <v>149.42000000000002</v>
      </c>
      <c r="AZ267">
        <f t="shared" si="205"/>
        <v>127.25</v>
      </c>
      <c r="BA267">
        <f t="shared" si="206"/>
        <v>140.80000000000001</v>
      </c>
      <c r="BB267">
        <f t="shared" si="207"/>
        <v>154.30000000000001</v>
      </c>
      <c r="BC267">
        <f t="shared" si="208"/>
        <v>145.25</v>
      </c>
      <c r="BD267">
        <f t="shared" si="209"/>
        <v>141.25</v>
      </c>
      <c r="BE267">
        <f t="shared" si="210"/>
        <v>147.94999999999999</v>
      </c>
      <c r="BF267">
        <f t="shared" si="168"/>
        <v>1929.58</v>
      </c>
      <c r="BG267">
        <f t="shared" si="169"/>
        <v>435</v>
      </c>
      <c r="BH267">
        <f t="shared" si="170"/>
        <v>294.67</v>
      </c>
      <c r="BI267">
        <f t="shared" si="171"/>
        <v>452.6</v>
      </c>
      <c r="BJ267">
        <f t="shared" si="172"/>
        <v>454.3</v>
      </c>
      <c r="BK267">
        <f t="shared" si="173"/>
        <v>271.23</v>
      </c>
    </row>
    <row r="268" spans="1:63" x14ac:dyDescent="0.35">
      <c r="A268" t="s">
        <v>34</v>
      </c>
      <c r="B268">
        <v>2020</v>
      </c>
      <c r="C268" t="s">
        <v>38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  <c r="AD268" t="s">
        <v>32</v>
      </c>
      <c r="AE268">
        <f t="shared" si="211"/>
        <v>148.19999999999999</v>
      </c>
      <c r="AF268">
        <f t="shared" si="186"/>
        <v>167</v>
      </c>
      <c r="AG268">
        <f t="shared" si="187"/>
        <v>148.92500000000001</v>
      </c>
      <c r="AH268">
        <f t="shared" si="188"/>
        <v>154.55000000000001</v>
      </c>
      <c r="AI268">
        <f t="shared" si="189"/>
        <v>133.75</v>
      </c>
      <c r="AJ268">
        <f t="shared" si="190"/>
        <v>148.15</v>
      </c>
      <c r="AK268">
        <f t="shared" si="191"/>
        <v>167.15</v>
      </c>
      <c r="AL268">
        <f t="shared" si="192"/>
        <v>148.125</v>
      </c>
      <c r="AM268">
        <f t="shared" si="193"/>
        <v>118.625</v>
      </c>
      <c r="AN268">
        <f t="shared" si="194"/>
        <v>155.75</v>
      </c>
      <c r="AO268">
        <f t="shared" si="195"/>
        <v>136.55000000000001</v>
      </c>
      <c r="AP268">
        <f t="shared" si="196"/>
        <v>159.6</v>
      </c>
      <c r="AQ268">
        <f t="shared" si="197"/>
        <v>150.97499999999999</v>
      </c>
      <c r="AR268">
        <f t="shared" si="198"/>
        <v>171.2</v>
      </c>
      <c r="AS268">
        <f t="shared" si="199"/>
        <v>151.19999999999999</v>
      </c>
      <c r="AT268">
        <f t="shared" si="200"/>
        <v>141.9</v>
      </c>
      <c r="AU268">
        <f t="shared" si="201"/>
        <v>149.80000000000001</v>
      </c>
      <c r="AV268">
        <f t="shared" si="158"/>
        <v>154.69999999999999</v>
      </c>
      <c r="AW268">
        <f t="shared" si="202"/>
        <v>144.625</v>
      </c>
      <c r="AX268">
        <f t="shared" si="203"/>
        <v>146.4</v>
      </c>
      <c r="AY268">
        <f t="shared" si="204"/>
        <v>150.52500000000001</v>
      </c>
      <c r="AZ268">
        <f t="shared" si="205"/>
        <v>129.9</v>
      </c>
      <c r="BA268">
        <f t="shared" si="206"/>
        <v>143.69999999999999</v>
      </c>
      <c r="BB268">
        <f t="shared" si="207"/>
        <v>156.1</v>
      </c>
      <c r="BC268">
        <f t="shared" si="208"/>
        <v>145.19999999999999</v>
      </c>
      <c r="BD268">
        <f t="shared" si="209"/>
        <v>143.80000000000001</v>
      </c>
      <c r="BE268">
        <f t="shared" si="210"/>
        <v>148.6</v>
      </c>
      <c r="BF268">
        <f t="shared" si="168"/>
        <v>1937.3499999999997</v>
      </c>
      <c r="BG268">
        <f t="shared" si="169"/>
        <v>442.90000000000003</v>
      </c>
      <c r="BH268">
        <f t="shared" si="170"/>
        <v>295.72500000000002</v>
      </c>
      <c r="BI268">
        <f t="shared" si="171"/>
        <v>457.2</v>
      </c>
      <c r="BJ268">
        <f t="shared" si="172"/>
        <v>458.7</v>
      </c>
      <c r="BK268">
        <f t="shared" si="173"/>
        <v>274.52499999999998</v>
      </c>
    </row>
    <row r="269" spans="1:63" x14ac:dyDescent="0.35">
      <c r="A269" t="s">
        <v>30</v>
      </c>
      <c r="B269">
        <v>2020</v>
      </c>
      <c r="C269" t="s">
        <v>39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141"/>
        <v>148.19999999999999</v>
      </c>
      <c r="AF269">
        <f t="shared" si="142"/>
        <v>190.3</v>
      </c>
      <c r="AG269">
        <f t="shared" si="143"/>
        <v>149.4</v>
      </c>
      <c r="AH269">
        <f t="shared" si="144"/>
        <v>153.30000000000001</v>
      </c>
      <c r="AI269">
        <f t="shared" si="145"/>
        <v>138.19999999999999</v>
      </c>
      <c r="AJ269">
        <f t="shared" si="146"/>
        <v>143.19999999999999</v>
      </c>
      <c r="AK269">
        <f t="shared" si="147"/>
        <v>148.9</v>
      </c>
      <c r="AL269">
        <f t="shared" si="148"/>
        <v>150.30000000000001</v>
      </c>
      <c r="AM269">
        <f t="shared" si="149"/>
        <v>113.2</v>
      </c>
      <c r="AN269">
        <f t="shared" si="150"/>
        <v>159.80000000000001</v>
      </c>
      <c r="AO269">
        <f t="shared" si="151"/>
        <v>142.1</v>
      </c>
      <c r="AP269">
        <f t="shared" si="152"/>
        <v>161.80000000000001</v>
      </c>
      <c r="AQ269">
        <f t="shared" si="153"/>
        <v>152.30000000000001</v>
      </c>
      <c r="AR269">
        <f t="shared" si="154"/>
        <v>182.4</v>
      </c>
      <c r="AS269">
        <f t="shared" si="155"/>
        <v>154.69999999999999</v>
      </c>
      <c r="AT269">
        <f t="shared" si="156"/>
        <v>150</v>
      </c>
      <c r="AU269">
        <f t="shared" si="157"/>
        <v>154.1</v>
      </c>
      <c r="AV269">
        <f t="shared" si="158"/>
        <v>154.69999999999999</v>
      </c>
      <c r="AW269">
        <f t="shared" si="159"/>
        <v>144.9</v>
      </c>
      <c r="AX269">
        <f t="shared" si="160"/>
        <v>151.69999999999999</v>
      </c>
      <c r="AY269">
        <f t="shared" si="161"/>
        <v>158.19999999999999</v>
      </c>
      <c r="AZ269">
        <f t="shared" si="162"/>
        <v>141.4</v>
      </c>
      <c r="BA269">
        <f t="shared" si="163"/>
        <v>153.19999999999999</v>
      </c>
      <c r="BB269">
        <f t="shared" si="164"/>
        <v>161.80000000000001</v>
      </c>
      <c r="BC269">
        <f t="shared" si="165"/>
        <v>151.19999999999999</v>
      </c>
      <c r="BD269">
        <f t="shared" si="166"/>
        <v>151.69999999999999</v>
      </c>
      <c r="BE269">
        <f t="shared" si="167"/>
        <v>152.69999999999999</v>
      </c>
      <c r="BF269">
        <f t="shared" si="168"/>
        <v>1951</v>
      </c>
      <c r="BG269">
        <f t="shared" si="169"/>
        <v>458.79999999999995</v>
      </c>
      <c r="BH269">
        <f t="shared" si="170"/>
        <v>309.39999999999998</v>
      </c>
      <c r="BI269">
        <f t="shared" si="171"/>
        <v>468.2</v>
      </c>
      <c r="BJ269">
        <f t="shared" si="172"/>
        <v>487.3</v>
      </c>
      <c r="BK269">
        <f t="shared" si="173"/>
        <v>286.3</v>
      </c>
    </row>
    <row r="270" spans="1:63" x14ac:dyDescent="0.35">
      <c r="A270" t="s">
        <v>33</v>
      </c>
      <c r="B270">
        <v>2020</v>
      </c>
      <c r="C270" t="s">
        <v>39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141"/>
        <v>152.69999999999999</v>
      </c>
      <c r="AF270">
        <f t="shared" si="142"/>
        <v>197</v>
      </c>
      <c r="AG270">
        <f t="shared" si="143"/>
        <v>154.6</v>
      </c>
      <c r="AH270">
        <f t="shared" si="144"/>
        <v>153.4</v>
      </c>
      <c r="AI270">
        <f t="shared" si="145"/>
        <v>132.9</v>
      </c>
      <c r="AJ270">
        <f t="shared" si="146"/>
        <v>151.80000000000001</v>
      </c>
      <c r="AK270">
        <f t="shared" si="147"/>
        <v>171.2</v>
      </c>
      <c r="AL270">
        <f t="shared" si="148"/>
        <v>152</v>
      </c>
      <c r="AM270">
        <f t="shared" si="149"/>
        <v>116.3</v>
      </c>
      <c r="AN270">
        <f t="shared" si="150"/>
        <v>158.80000000000001</v>
      </c>
      <c r="AO270">
        <f t="shared" si="151"/>
        <v>135.6</v>
      </c>
      <c r="AP270">
        <f t="shared" si="152"/>
        <v>161.69999999999999</v>
      </c>
      <c r="AQ270">
        <f t="shared" si="153"/>
        <v>157</v>
      </c>
      <c r="AR270">
        <f t="shared" si="154"/>
        <v>186.7</v>
      </c>
      <c r="AS270">
        <f t="shared" si="155"/>
        <v>149.1</v>
      </c>
      <c r="AT270">
        <f t="shared" si="156"/>
        <v>136.6</v>
      </c>
      <c r="AU270">
        <f t="shared" si="157"/>
        <v>147.19999999999999</v>
      </c>
      <c r="AV270">
        <f t="shared" si="158"/>
        <v>154.69999999999999</v>
      </c>
      <c r="AW270">
        <f t="shared" si="159"/>
        <v>137.1</v>
      </c>
      <c r="AX270">
        <f t="shared" si="160"/>
        <v>140.4</v>
      </c>
      <c r="AY270">
        <f t="shared" si="161"/>
        <v>148.1</v>
      </c>
      <c r="AZ270">
        <f t="shared" si="162"/>
        <v>129.30000000000001</v>
      </c>
      <c r="BA270">
        <f t="shared" si="163"/>
        <v>144.5</v>
      </c>
      <c r="BB270">
        <f t="shared" si="164"/>
        <v>152.5</v>
      </c>
      <c r="BC270">
        <f t="shared" si="165"/>
        <v>152.19999999999999</v>
      </c>
      <c r="BD270">
        <f t="shared" si="166"/>
        <v>142</v>
      </c>
      <c r="BE270">
        <f t="shared" si="167"/>
        <v>150.80000000000001</v>
      </c>
      <c r="BF270">
        <f t="shared" si="168"/>
        <v>1994.9999999999998</v>
      </c>
      <c r="BG270">
        <f t="shared" si="169"/>
        <v>432.9</v>
      </c>
      <c r="BH270">
        <f t="shared" si="170"/>
        <v>300.29999999999995</v>
      </c>
      <c r="BI270">
        <f t="shared" si="171"/>
        <v>447.59999999999997</v>
      </c>
      <c r="BJ270">
        <f t="shared" si="172"/>
        <v>473.2</v>
      </c>
      <c r="BK270">
        <f t="shared" si="173"/>
        <v>266.39999999999998</v>
      </c>
    </row>
    <row r="271" spans="1:63" x14ac:dyDescent="0.35">
      <c r="A271" t="s">
        <v>34</v>
      </c>
      <c r="B271">
        <v>2020</v>
      </c>
      <c r="C271" t="s">
        <v>39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141"/>
        <v>149.6</v>
      </c>
      <c r="AF271">
        <f t="shared" si="142"/>
        <v>192.7</v>
      </c>
      <c r="AG271">
        <f t="shared" si="143"/>
        <v>151.4</v>
      </c>
      <c r="AH271">
        <f t="shared" si="144"/>
        <v>153.30000000000001</v>
      </c>
      <c r="AI271">
        <f t="shared" si="145"/>
        <v>136.30000000000001</v>
      </c>
      <c r="AJ271">
        <f t="shared" si="146"/>
        <v>147.19999999999999</v>
      </c>
      <c r="AK271">
        <f t="shared" si="147"/>
        <v>156.5</v>
      </c>
      <c r="AL271">
        <f t="shared" si="148"/>
        <v>150.9</v>
      </c>
      <c r="AM271">
        <f t="shared" si="149"/>
        <v>114.2</v>
      </c>
      <c r="AN271">
        <f t="shared" si="150"/>
        <v>159.5</v>
      </c>
      <c r="AO271">
        <f t="shared" si="151"/>
        <v>139.4</v>
      </c>
      <c r="AP271">
        <f t="shared" si="152"/>
        <v>161.80000000000001</v>
      </c>
      <c r="AQ271">
        <f t="shared" si="153"/>
        <v>154</v>
      </c>
      <c r="AR271">
        <f t="shared" si="154"/>
        <v>183.5</v>
      </c>
      <c r="AS271">
        <f t="shared" si="155"/>
        <v>152.5</v>
      </c>
      <c r="AT271">
        <f t="shared" si="156"/>
        <v>144.4</v>
      </c>
      <c r="AU271">
        <f t="shared" si="157"/>
        <v>151.4</v>
      </c>
      <c r="AV271">
        <f t="shared" si="158"/>
        <v>154.69999999999999</v>
      </c>
      <c r="AW271">
        <f t="shared" si="159"/>
        <v>141.9</v>
      </c>
      <c r="AX271">
        <f t="shared" si="160"/>
        <v>146.4</v>
      </c>
      <c r="AY271">
        <f t="shared" si="161"/>
        <v>154.4</v>
      </c>
      <c r="AZ271">
        <f t="shared" si="162"/>
        <v>135</v>
      </c>
      <c r="BA271">
        <f t="shared" si="163"/>
        <v>148.30000000000001</v>
      </c>
      <c r="BB271">
        <f t="shared" si="164"/>
        <v>156.4</v>
      </c>
      <c r="BC271">
        <f t="shared" si="165"/>
        <v>151.6</v>
      </c>
      <c r="BD271">
        <f t="shared" si="166"/>
        <v>147</v>
      </c>
      <c r="BE271">
        <f t="shared" si="167"/>
        <v>151.80000000000001</v>
      </c>
      <c r="BF271">
        <f t="shared" si="168"/>
        <v>1966.8000000000002</v>
      </c>
      <c r="BG271">
        <f t="shared" si="169"/>
        <v>448.29999999999995</v>
      </c>
      <c r="BH271">
        <f t="shared" si="170"/>
        <v>306</v>
      </c>
      <c r="BI271">
        <f t="shared" si="171"/>
        <v>457.5</v>
      </c>
      <c r="BJ271">
        <f t="shared" si="172"/>
        <v>478.8</v>
      </c>
      <c r="BK271">
        <f t="shared" si="173"/>
        <v>276.89999999999998</v>
      </c>
    </row>
    <row r="272" spans="1:63" x14ac:dyDescent="0.35">
      <c r="A272" t="s">
        <v>30</v>
      </c>
      <c r="B272">
        <v>2020</v>
      </c>
      <c r="C272" t="s">
        <v>40</v>
      </c>
      <c r="D272">
        <v>148.19999999999999</v>
      </c>
      <c r="E272">
        <v>190.3</v>
      </c>
      <c r="F272">
        <v>149.4</v>
      </c>
      <c r="G272">
        <v>153.30000000000001</v>
      </c>
      <c r="H272">
        <v>138.19999999999999</v>
      </c>
      <c r="I272">
        <v>143.19999999999999</v>
      </c>
      <c r="J272">
        <v>148.9</v>
      </c>
      <c r="K272">
        <v>150.30000000000001</v>
      </c>
      <c r="L272">
        <v>113.2</v>
      </c>
      <c r="M272">
        <v>159.80000000000001</v>
      </c>
      <c r="N272">
        <v>142.1</v>
      </c>
      <c r="O272">
        <v>161.80000000000001</v>
      </c>
      <c r="P272">
        <v>152.30000000000001</v>
      </c>
      <c r="Q272">
        <v>182.4</v>
      </c>
      <c r="R272">
        <v>154.69999999999999</v>
      </c>
      <c r="S272">
        <v>150</v>
      </c>
      <c r="T272">
        <v>154.1</v>
      </c>
      <c r="U272" t="s">
        <v>32</v>
      </c>
      <c r="V272">
        <v>144.9</v>
      </c>
      <c r="W272">
        <v>151.69999999999999</v>
      </c>
      <c r="X272">
        <v>158.19999999999999</v>
      </c>
      <c r="Y272">
        <v>141.4</v>
      </c>
      <c r="Z272">
        <v>153.19999999999999</v>
      </c>
      <c r="AA272">
        <v>161.80000000000001</v>
      </c>
      <c r="AB272">
        <v>151.19999999999999</v>
      </c>
      <c r="AC272">
        <v>151.69999999999999</v>
      </c>
      <c r="AD272">
        <v>152.69999999999999</v>
      </c>
      <c r="AE272">
        <f t="shared" si="141"/>
        <v>148.19999999999999</v>
      </c>
      <c r="AF272">
        <f t="shared" si="142"/>
        <v>190.3</v>
      </c>
      <c r="AG272">
        <f t="shared" si="143"/>
        <v>149.4</v>
      </c>
      <c r="AH272">
        <f t="shared" si="144"/>
        <v>153.30000000000001</v>
      </c>
      <c r="AI272">
        <f t="shared" si="145"/>
        <v>138.19999999999999</v>
      </c>
      <c r="AJ272">
        <f t="shared" si="146"/>
        <v>143.19999999999999</v>
      </c>
      <c r="AK272">
        <f t="shared" si="147"/>
        <v>148.9</v>
      </c>
      <c r="AL272">
        <f t="shared" si="148"/>
        <v>150.30000000000001</v>
      </c>
      <c r="AM272">
        <f t="shared" si="149"/>
        <v>113.2</v>
      </c>
      <c r="AN272">
        <f t="shared" si="150"/>
        <v>159.80000000000001</v>
      </c>
      <c r="AO272">
        <f t="shared" si="151"/>
        <v>142.1</v>
      </c>
      <c r="AP272">
        <f t="shared" si="152"/>
        <v>161.80000000000001</v>
      </c>
      <c r="AQ272">
        <f t="shared" si="153"/>
        <v>152.30000000000001</v>
      </c>
      <c r="AR272">
        <f t="shared" si="154"/>
        <v>182.4</v>
      </c>
      <c r="AS272">
        <f t="shared" si="155"/>
        <v>154.69999999999999</v>
      </c>
      <c r="AT272">
        <f t="shared" si="156"/>
        <v>150</v>
      </c>
      <c r="AU272">
        <f t="shared" si="157"/>
        <v>154.1</v>
      </c>
      <c r="AV272">
        <f t="shared" si="158"/>
        <v>154.69999999999999</v>
      </c>
      <c r="AW272">
        <f t="shared" si="159"/>
        <v>144.9</v>
      </c>
      <c r="AX272">
        <f t="shared" si="160"/>
        <v>151.69999999999999</v>
      </c>
      <c r="AY272">
        <f t="shared" si="161"/>
        <v>158.19999999999999</v>
      </c>
      <c r="AZ272">
        <f t="shared" si="162"/>
        <v>141.4</v>
      </c>
      <c r="BA272">
        <f t="shared" si="163"/>
        <v>153.19999999999999</v>
      </c>
      <c r="BB272">
        <f t="shared" si="164"/>
        <v>161.80000000000001</v>
      </c>
      <c r="BC272">
        <f t="shared" si="165"/>
        <v>151.19999999999999</v>
      </c>
      <c r="BD272">
        <f t="shared" si="166"/>
        <v>151.69999999999999</v>
      </c>
      <c r="BE272">
        <f t="shared" si="167"/>
        <v>152.69999999999999</v>
      </c>
      <c r="BF272">
        <f t="shared" si="168"/>
        <v>1951</v>
      </c>
      <c r="BG272">
        <f t="shared" si="169"/>
        <v>458.79999999999995</v>
      </c>
      <c r="BH272">
        <f t="shared" si="170"/>
        <v>309.39999999999998</v>
      </c>
      <c r="BI272">
        <f t="shared" si="171"/>
        <v>468.2</v>
      </c>
      <c r="BJ272">
        <f t="shared" si="172"/>
        <v>487.3</v>
      </c>
      <c r="BK272">
        <f t="shared" si="173"/>
        <v>286.3</v>
      </c>
    </row>
    <row r="273" spans="1:63" x14ac:dyDescent="0.35">
      <c r="A273" t="s">
        <v>33</v>
      </c>
      <c r="B273">
        <v>2020</v>
      </c>
      <c r="C273" t="s">
        <v>40</v>
      </c>
      <c r="D273">
        <v>152.69999999999999</v>
      </c>
      <c r="E273">
        <v>197</v>
      </c>
      <c r="F273">
        <v>154.6</v>
      </c>
      <c r="G273">
        <v>153.4</v>
      </c>
      <c r="H273">
        <v>132.9</v>
      </c>
      <c r="I273">
        <v>151.80000000000001</v>
      </c>
      <c r="J273">
        <v>171.2</v>
      </c>
      <c r="K273">
        <v>152</v>
      </c>
      <c r="L273">
        <v>116.3</v>
      </c>
      <c r="M273">
        <v>158.80000000000001</v>
      </c>
      <c r="N273">
        <v>135.6</v>
      </c>
      <c r="O273">
        <v>161.69999999999999</v>
      </c>
      <c r="P273">
        <v>157</v>
      </c>
      <c r="Q273">
        <v>186.7</v>
      </c>
      <c r="R273">
        <v>149.1</v>
      </c>
      <c r="S273">
        <v>136.6</v>
      </c>
      <c r="T273">
        <v>147.19999999999999</v>
      </c>
      <c r="U273">
        <v>154.69999999999999</v>
      </c>
      <c r="V273">
        <v>137.1</v>
      </c>
      <c r="W273">
        <v>140.4</v>
      </c>
      <c r="X273">
        <v>148.1</v>
      </c>
      <c r="Y273">
        <v>129.30000000000001</v>
      </c>
      <c r="Z273">
        <v>144.5</v>
      </c>
      <c r="AA273">
        <v>152.5</v>
      </c>
      <c r="AB273">
        <v>152.19999999999999</v>
      </c>
      <c r="AC273">
        <v>142</v>
      </c>
      <c r="AD273">
        <v>150.80000000000001</v>
      </c>
      <c r="AE273">
        <f t="shared" si="141"/>
        <v>152.69999999999999</v>
      </c>
      <c r="AF273">
        <f t="shared" si="142"/>
        <v>197</v>
      </c>
      <c r="AG273">
        <f t="shared" si="143"/>
        <v>154.6</v>
      </c>
      <c r="AH273">
        <f t="shared" si="144"/>
        <v>153.4</v>
      </c>
      <c r="AI273">
        <f t="shared" si="145"/>
        <v>132.9</v>
      </c>
      <c r="AJ273">
        <f t="shared" si="146"/>
        <v>151.80000000000001</v>
      </c>
      <c r="AK273">
        <f t="shared" si="147"/>
        <v>171.2</v>
      </c>
      <c r="AL273">
        <f t="shared" si="148"/>
        <v>152</v>
      </c>
      <c r="AM273">
        <f t="shared" si="149"/>
        <v>116.3</v>
      </c>
      <c r="AN273">
        <f t="shared" si="150"/>
        <v>158.80000000000001</v>
      </c>
      <c r="AO273">
        <f t="shared" si="151"/>
        <v>135.6</v>
      </c>
      <c r="AP273">
        <f t="shared" si="152"/>
        <v>161.69999999999999</v>
      </c>
      <c r="AQ273">
        <f t="shared" si="153"/>
        <v>157</v>
      </c>
      <c r="AR273">
        <f t="shared" si="154"/>
        <v>186.7</v>
      </c>
      <c r="AS273">
        <f t="shared" si="155"/>
        <v>149.1</v>
      </c>
      <c r="AT273">
        <f t="shared" si="156"/>
        <v>136.6</v>
      </c>
      <c r="AU273">
        <f t="shared" si="157"/>
        <v>147.19999999999999</v>
      </c>
      <c r="AV273">
        <f t="shared" si="158"/>
        <v>154.69999999999999</v>
      </c>
      <c r="AW273">
        <f t="shared" si="159"/>
        <v>137.1</v>
      </c>
      <c r="AX273">
        <f t="shared" si="160"/>
        <v>140.4</v>
      </c>
      <c r="AY273">
        <f t="shared" si="161"/>
        <v>148.1</v>
      </c>
      <c r="AZ273">
        <f t="shared" si="162"/>
        <v>129.30000000000001</v>
      </c>
      <c r="BA273">
        <f t="shared" si="163"/>
        <v>144.5</v>
      </c>
      <c r="BB273">
        <f t="shared" si="164"/>
        <v>152.5</v>
      </c>
      <c r="BC273">
        <f t="shared" si="165"/>
        <v>152.19999999999999</v>
      </c>
      <c r="BD273">
        <f t="shared" si="166"/>
        <v>142</v>
      </c>
      <c r="BE273">
        <f t="shared" si="167"/>
        <v>150.80000000000001</v>
      </c>
      <c r="BF273">
        <f t="shared" si="168"/>
        <v>1994.9999999999998</v>
      </c>
      <c r="BG273">
        <f t="shared" si="169"/>
        <v>432.9</v>
      </c>
      <c r="BH273">
        <f t="shared" si="170"/>
        <v>300.29999999999995</v>
      </c>
      <c r="BI273">
        <f t="shared" si="171"/>
        <v>447.59999999999997</v>
      </c>
      <c r="BJ273">
        <f t="shared" si="172"/>
        <v>473.2</v>
      </c>
      <c r="BK273">
        <f t="shared" si="173"/>
        <v>266.39999999999998</v>
      </c>
    </row>
    <row r="274" spans="1:63" x14ac:dyDescent="0.35">
      <c r="A274" t="s">
        <v>34</v>
      </c>
      <c r="B274">
        <v>2020</v>
      </c>
      <c r="C274" t="s">
        <v>40</v>
      </c>
      <c r="D274">
        <v>149.6</v>
      </c>
      <c r="E274">
        <v>192.7</v>
      </c>
      <c r="F274">
        <v>151.4</v>
      </c>
      <c r="G274">
        <v>153.30000000000001</v>
      </c>
      <c r="H274">
        <v>136.30000000000001</v>
      </c>
      <c r="I274">
        <v>147.19999999999999</v>
      </c>
      <c r="J274">
        <v>156.5</v>
      </c>
      <c r="K274">
        <v>150.9</v>
      </c>
      <c r="L274">
        <v>114.2</v>
      </c>
      <c r="M274">
        <v>159.5</v>
      </c>
      <c r="N274">
        <v>139.4</v>
      </c>
      <c r="O274">
        <v>161.80000000000001</v>
      </c>
      <c r="P274">
        <v>154</v>
      </c>
      <c r="Q274">
        <v>183.5</v>
      </c>
      <c r="R274">
        <v>152.5</v>
      </c>
      <c r="S274">
        <v>144.4</v>
      </c>
      <c r="T274">
        <v>151.4</v>
      </c>
      <c r="U274">
        <v>154.69999999999999</v>
      </c>
      <c r="V274">
        <v>141.9</v>
      </c>
      <c r="W274">
        <v>146.4</v>
      </c>
      <c r="X274">
        <v>154.4</v>
      </c>
      <c r="Y274">
        <v>135</v>
      </c>
      <c r="Z274">
        <v>148.30000000000001</v>
      </c>
      <c r="AA274">
        <v>156.4</v>
      </c>
      <c r="AB274">
        <v>151.6</v>
      </c>
      <c r="AC274">
        <v>147</v>
      </c>
      <c r="AD274">
        <v>151.80000000000001</v>
      </c>
      <c r="AE274">
        <f t="shared" si="141"/>
        <v>149.6</v>
      </c>
      <c r="AF274">
        <f t="shared" si="142"/>
        <v>192.7</v>
      </c>
      <c r="AG274">
        <f t="shared" si="143"/>
        <v>151.4</v>
      </c>
      <c r="AH274">
        <f t="shared" si="144"/>
        <v>153.30000000000001</v>
      </c>
      <c r="AI274">
        <f t="shared" si="145"/>
        <v>136.30000000000001</v>
      </c>
      <c r="AJ274">
        <f t="shared" si="146"/>
        <v>147.19999999999999</v>
      </c>
      <c r="AK274">
        <f t="shared" si="147"/>
        <v>156.5</v>
      </c>
      <c r="AL274">
        <f t="shared" si="148"/>
        <v>150.9</v>
      </c>
      <c r="AM274">
        <f t="shared" si="149"/>
        <v>114.2</v>
      </c>
      <c r="AN274">
        <f t="shared" si="150"/>
        <v>159.5</v>
      </c>
      <c r="AO274">
        <f t="shared" si="151"/>
        <v>139.4</v>
      </c>
      <c r="AP274">
        <f t="shared" si="152"/>
        <v>161.80000000000001</v>
      </c>
      <c r="AQ274">
        <f t="shared" si="153"/>
        <v>154</v>
      </c>
      <c r="AR274">
        <f t="shared" si="154"/>
        <v>183.5</v>
      </c>
      <c r="AS274">
        <f t="shared" si="155"/>
        <v>152.5</v>
      </c>
      <c r="AT274">
        <f t="shared" si="156"/>
        <v>144.4</v>
      </c>
      <c r="AU274">
        <f t="shared" si="157"/>
        <v>151.4</v>
      </c>
      <c r="AV274">
        <f t="shared" si="158"/>
        <v>154.69999999999999</v>
      </c>
      <c r="AW274">
        <f t="shared" si="159"/>
        <v>141.9</v>
      </c>
      <c r="AX274">
        <f t="shared" si="160"/>
        <v>146.4</v>
      </c>
      <c r="AY274">
        <f t="shared" si="161"/>
        <v>154.4</v>
      </c>
      <c r="AZ274">
        <f t="shared" si="162"/>
        <v>135</v>
      </c>
      <c r="BA274">
        <f t="shared" si="163"/>
        <v>148.30000000000001</v>
      </c>
      <c r="BB274">
        <f t="shared" si="164"/>
        <v>156.4</v>
      </c>
      <c r="BC274">
        <f t="shared" si="165"/>
        <v>151.6</v>
      </c>
      <c r="BD274">
        <f t="shared" si="166"/>
        <v>147</v>
      </c>
      <c r="BE274">
        <f t="shared" si="167"/>
        <v>151.80000000000001</v>
      </c>
      <c r="BF274">
        <f t="shared" si="168"/>
        <v>1966.8000000000002</v>
      </c>
      <c r="BG274">
        <f t="shared" si="169"/>
        <v>448.29999999999995</v>
      </c>
      <c r="BH274">
        <f t="shared" si="170"/>
        <v>306</v>
      </c>
      <c r="BI274">
        <f t="shared" si="171"/>
        <v>457.5</v>
      </c>
      <c r="BJ274">
        <f t="shared" si="172"/>
        <v>478.8</v>
      </c>
      <c r="BK274">
        <f t="shared" si="173"/>
        <v>276.89999999999998</v>
      </c>
    </row>
    <row r="275" spans="1:63" x14ac:dyDescent="0.35">
      <c r="A275" t="s">
        <v>30</v>
      </c>
      <c r="B275">
        <v>2020</v>
      </c>
      <c r="C275" t="s">
        <v>41</v>
      </c>
      <c r="D275">
        <v>147.6</v>
      </c>
      <c r="E275">
        <v>187.2</v>
      </c>
      <c r="F275">
        <v>148.4</v>
      </c>
      <c r="G275">
        <v>153.30000000000001</v>
      </c>
      <c r="H275">
        <v>139.80000000000001</v>
      </c>
      <c r="I275">
        <v>146.9</v>
      </c>
      <c r="J275">
        <v>171</v>
      </c>
      <c r="K275">
        <v>149.9</v>
      </c>
      <c r="L275">
        <v>114.2</v>
      </c>
      <c r="M275">
        <v>160</v>
      </c>
      <c r="N275">
        <v>143.5</v>
      </c>
      <c r="O275">
        <v>161.5</v>
      </c>
      <c r="P275">
        <v>155.30000000000001</v>
      </c>
      <c r="Q275">
        <v>180.9</v>
      </c>
      <c r="R275">
        <v>155.1</v>
      </c>
      <c r="S275">
        <v>149.30000000000001</v>
      </c>
      <c r="T275">
        <v>154.30000000000001</v>
      </c>
      <c r="U275" t="s">
        <v>32</v>
      </c>
      <c r="V275">
        <v>145.80000000000001</v>
      </c>
      <c r="W275">
        <v>151.9</v>
      </c>
      <c r="X275">
        <v>158.80000000000001</v>
      </c>
      <c r="Y275">
        <v>143.6</v>
      </c>
      <c r="Z275">
        <v>152.19999999999999</v>
      </c>
      <c r="AA275">
        <v>162.69999999999999</v>
      </c>
      <c r="AB275">
        <v>153.6</v>
      </c>
      <c r="AC275">
        <v>153</v>
      </c>
      <c r="AD275">
        <v>154.69999999999999</v>
      </c>
      <c r="AE275">
        <f t="shared" si="141"/>
        <v>147.6</v>
      </c>
      <c r="AF275">
        <f t="shared" si="142"/>
        <v>187.2</v>
      </c>
      <c r="AG275">
        <f t="shared" si="143"/>
        <v>148.4</v>
      </c>
      <c r="AH275">
        <f t="shared" si="144"/>
        <v>153.30000000000001</v>
      </c>
      <c r="AI275">
        <f t="shared" si="145"/>
        <v>139.80000000000001</v>
      </c>
      <c r="AJ275">
        <f t="shared" si="146"/>
        <v>146.9</v>
      </c>
      <c r="AK275">
        <f t="shared" si="147"/>
        <v>171</v>
      </c>
      <c r="AL275">
        <f t="shared" si="148"/>
        <v>149.9</v>
      </c>
      <c r="AM275">
        <f t="shared" si="149"/>
        <v>114.2</v>
      </c>
      <c r="AN275">
        <f t="shared" si="150"/>
        <v>160</v>
      </c>
      <c r="AO275">
        <f t="shared" si="151"/>
        <v>143.5</v>
      </c>
      <c r="AP275">
        <f t="shared" si="152"/>
        <v>161.5</v>
      </c>
      <c r="AQ275">
        <f t="shared" si="153"/>
        <v>155.30000000000001</v>
      </c>
      <c r="AR275">
        <f t="shared" si="154"/>
        <v>180.9</v>
      </c>
      <c r="AS275">
        <f t="shared" si="155"/>
        <v>155.1</v>
      </c>
      <c r="AT275">
        <f t="shared" si="156"/>
        <v>149.30000000000001</v>
      </c>
      <c r="AU275">
        <f t="shared" si="157"/>
        <v>154.30000000000001</v>
      </c>
      <c r="AV275">
        <f t="shared" si="158"/>
        <v>155.5</v>
      </c>
      <c r="AW275">
        <f t="shared" si="159"/>
        <v>145.80000000000001</v>
      </c>
      <c r="AX275">
        <f t="shared" si="160"/>
        <v>151.9</v>
      </c>
      <c r="AY275">
        <f t="shared" si="161"/>
        <v>158.80000000000001</v>
      </c>
      <c r="AZ275">
        <f t="shared" si="162"/>
        <v>143.6</v>
      </c>
      <c r="BA275">
        <f t="shared" si="163"/>
        <v>152.19999999999999</v>
      </c>
      <c r="BB275">
        <f t="shared" si="164"/>
        <v>162.69999999999999</v>
      </c>
      <c r="BC275">
        <f t="shared" si="165"/>
        <v>153.6</v>
      </c>
      <c r="BD275">
        <f t="shared" si="166"/>
        <v>153</v>
      </c>
      <c r="BE275">
        <f t="shared" si="167"/>
        <v>154.69999999999999</v>
      </c>
      <c r="BF275">
        <f t="shared" si="168"/>
        <v>1978.6</v>
      </c>
      <c r="BG275">
        <f t="shared" si="169"/>
        <v>458.7</v>
      </c>
      <c r="BH275">
        <f t="shared" si="170"/>
        <v>312.39999999999998</v>
      </c>
      <c r="BI275">
        <f t="shared" si="171"/>
        <v>470.1</v>
      </c>
      <c r="BJ275">
        <f t="shared" si="172"/>
        <v>486.1</v>
      </c>
      <c r="BK275">
        <f t="shared" si="173"/>
        <v>289.39999999999998</v>
      </c>
    </row>
    <row r="276" spans="1:63" x14ac:dyDescent="0.35">
      <c r="A276" t="s">
        <v>33</v>
      </c>
      <c r="B276">
        <v>2020</v>
      </c>
      <c r="C276" t="s">
        <v>41</v>
      </c>
      <c r="D276">
        <v>151.6</v>
      </c>
      <c r="E276">
        <v>197.8</v>
      </c>
      <c r="F276">
        <v>154.5</v>
      </c>
      <c r="G276">
        <v>153.4</v>
      </c>
      <c r="H276">
        <v>133.4</v>
      </c>
      <c r="I276">
        <v>154.5</v>
      </c>
      <c r="J276">
        <v>191.9</v>
      </c>
      <c r="K276">
        <v>151.30000000000001</v>
      </c>
      <c r="L276">
        <v>116.8</v>
      </c>
      <c r="M276">
        <v>160</v>
      </c>
      <c r="N276">
        <v>136.5</v>
      </c>
      <c r="O276">
        <v>163.30000000000001</v>
      </c>
      <c r="P276">
        <v>159.9</v>
      </c>
      <c r="Q276">
        <v>187.2</v>
      </c>
      <c r="R276">
        <v>150</v>
      </c>
      <c r="S276">
        <v>135.19999999999999</v>
      </c>
      <c r="T276">
        <v>147.80000000000001</v>
      </c>
      <c r="U276">
        <v>155.5</v>
      </c>
      <c r="V276">
        <v>138.30000000000001</v>
      </c>
      <c r="W276">
        <v>144.5</v>
      </c>
      <c r="X276">
        <v>148.69999999999999</v>
      </c>
      <c r="Y276">
        <v>133.9</v>
      </c>
      <c r="Z276">
        <v>141.19999999999999</v>
      </c>
      <c r="AA276">
        <v>155.5</v>
      </c>
      <c r="AB276">
        <v>155.19999999999999</v>
      </c>
      <c r="AC276">
        <v>144.80000000000001</v>
      </c>
      <c r="AD276">
        <v>152.9</v>
      </c>
      <c r="AE276">
        <f t="shared" si="141"/>
        <v>151.6</v>
      </c>
      <c r="AF276">
        <f t="shared" si="142"/>
        <v>197.8</v>
      </c>
      <c r="AG276">
        <f t="shared" si="143"/>
        <v>154.5</v>
      </c>
      <c r="AH276">
        <f t="shared" si="144"/>
        <v>153.4</v>
      </c>
      <c r="AI276">
        <f t="shared" si="145"/>
        <v>133.4</v>
      </c>
      <c r="AJ276">
        <f t="shared" si="146"/>
        <v>154.5</v>
      </c>
      <c r="AK276">
        <f t="shared" si="147"/>
        <v>191.9</v>
      </c>
      <c r="AL276">
        <f t="shared" si="148"/>
        <v>151.30000000000001</v>
      </c>
      <c r="AM276">
        <f t="shared" si="149"/>
        <v>116.8</v>
      </c>
      <c r="AN276">
        <f t="shared" si="150"/>
        <v>160</v>
      </c>
      <c r="AO276">
        <f t="shared" si="151"/>
        <v>136.5</v>
      </c>
      <c r="AP276">
        <f t="shared" si="152"/>
        <v>163.30000000000001</v>
      </c>
      <c r="AQ276">
        <f t="shared" si="153"/>
        <v>159.9</v>
      </c>
      <c r="AR276">
        <f t="shared" si="154"/>
        <v>187.2</v>
      </c>
      <c r="AS276">
        <f t="shared" si="155"/>
        <v>150</v>
      </c>
      <c r="AT276">
        <f t="shared" si="156"/>
        <v>135.19999999999999</v>
      </c>
      <c r="AU276">
        <f t="shared" si="157"/>
        <v>147.80000000000001</v>
      </c>
      <c r="AV276">
        <f t="shared" si="158"/>
        <v>155.5</v>
      </c>
      <c r="AW276">
        <f t="shared" si="159"/>
        <v>138.30000000000001</v>
      </c>
      <c r="AX276">
        <f t="shared" si="160"/>
        <v>144.5</v>
      </c>
      <c r="AY276">
        <f t="shared" si="161"/>
        <v>148.69999999999999</v>
      </c>
      <c r="AZ276">
        <f t="shared" si="162"/>
        <v>133.9</v>
      </c>
      <c r="BA276">
        <f t="shared" si="163"/>
        <v>141.19999999999999</v>
      </c>
      <c r="BB276">
        <f t="shared" si="164"/>
        <v>155.5</v>
      </c>
      <c r="BC276">
        <f t="shared" si="165"/>
        <v>155.19999999999999</v>
      </c>
      <c r="BD276">
        <f t="shared" si="166"/>
        <v>144.80000000000001</v>
      </c>
      <c r="BE276">
        <f t="shared" si="167"/>
        <v>152.9</v>
      </c>
      <c r="BF276">
        <f t="shared" si="168"/>
        <v>2024.8999999999999</v>
      </c>
      <c r="BG276">
        <f t="shared" si="169"/>
        <v>433</v>
      </c>
      <c r="BH276">
        <f t="shared" si="170"/>
        <v>303.89999999999998</v>
      </c>
      <c r="BI276">
        <f t="shared" si="171"/>
        <v>455.5</v>
      </c>
      <c r="BJ276">
        <f t="shared" si="172"/>
        <v>473.2</v>
      </c>
      <c r="BK276">
        <f t="shared" si="173"/>
        <v>272.20000000000005</v>
      </c>
    </row>
    <row r="277" spans="1:63" x14ac:dyDescent="0.35">
      <c r="A277" t="s">
        <v>34</v>
      </c>
      <c r="B277">
        <v>2020</v>
      </c>
      <c r="C277" t="s">
        <v>41</v>
      </c>
      <c r="D277">
        <v>148.9</v>
      </c>
      <c r="E277">
        <v>190.9</v>
      </c>
      <c r="F277">
        <v>150.80000000000001</v>
      </c>
      <c r="G277">
        <v>153.30000000000001</v>
      </c>
      <c r="H277">
        <v>137.4</v>
      </c>
      <c r="I277">
        <v>150.4</v>
      </c>
      <c r="J277">
        <v>178.1</v>
      </c>
      <c r="K277">
        <v>150.4</v>
      </c>
      <c r="L277">
        <v>115.1</v>
      </c>
      <c r="M277">
        <v>160</v>
      </c>
      <c r="N277">
        <v>140.6</v>
      </c>
      <c r="O277">
        <v>162.30000000000001</v>
      </c>
      <c r="P277">
        <v>157</v>
      </c>
      <c r="Q277">
        <v>182.6</v>
      </c>
      <c r="R277">
        <v>153.1</v>
      </c>
      <c r="S277">
        <v>143.4</v>
      </c>
      <c r="T277">
        <v>151.69999999999999</v>
      </c>
      <c r="U277">
        <v>155.5</v>
      </c>
      <c r="V277">
        <v>143</v>
      </c>
      <c r="W277">
        <v>148.4</v>
      </c>
      <c r="X277">
        <v>155</v>
      </c>
      <c r="Y277">
        <v>138.5</v>
      </c>
      <c r="Z277">
        <v>146</v>
      </c>
      <c r="AA277">
        <v>158.5</v>
      </c>
      <c r="AB277">
        <v>154.30000000000001</v>
      </c>
      <c r="AC277">
        <v>149</v>
      </c>
      <c r="AD277">
        <v>153.9</v>
      </c>
      <c r="AE277">
        <f t="shared" si="141"/>
        <v>148.9</v>
      </c>
      <c r="AF277">
        <f t="shared" si="142"/>
        <v>190.9</v>
      </c>
      <c r="AG277">
        <f t="shared" si="143"/>
        <v>150.80000000000001</v>
      </c>
      <c r="AH277">
        <f t="shared" si="144"/>
        <v>153.30000000000001</v>
      </c>
      <c r="AI277">
        <f t="shared" si="145"/>
        <v>137.4</v>
      </c>
      <c r="AJ277">
        <f t="shared" si="146"/>
        <v>150.4</v>
      </c>
      <c r="AK277">
        <f t="shared" si="147"/>
        <v>178.1</v>
      </c>
      <c r="AL277">
        <f t="shared" si="148"/>
        <v>150.4</v>
      </c>
      <c r="AM277">
        <f t="shared" si="149"/>
        <v>115.1</v>
      </c>
      <c r="AN277">
        <f t="shared" si="150"/>
        <v>160</v>
      </c>
      <c r="AO277">
        <f t="shared" si="151"/>
        <v>140.6</v>
      </c>
      <c r="AP277">
        <f t="shared" si="152"/>
        <v>162.30000000000001</v>
      </c>
      <c r="AQ277">
        <f t="shared" si="153"/>
        <v>157</v>
      </c>
      <c r="AR277">
        <f t="shared" si="154"/>
        <v>182.6</v>
      </c>
      <c r="AS277">
        <f t="shared" si="155"/>
        <v>153.1</v>
      </c>
      <c r="AT277">
        <f t="shared" si="156"/>
        <v>143.4</v>
      </c>
      <c r="AU277">
        <f t="shared" si="157"/>
        <v>151.69999999999999</v>
      </c>
      <c r="AV277">
        <f t="shared" si="158"/>
        <v>155.5</v>
      </c>
      <c r="AW277">
        <f t="shared" si="159"/>
        <v>143</v>
      </c>
      <c r="AX277">
        <f t="shared" si="160"/>
        <v>148.4</v>
      </c>
      <c r="AY277">
        <f t="shared" si="161"/>
        <v>155</v>
      </c>
      <c r="AZ277">
        <f t="shared" si="162"/>
        <v>138.5</v>
      </c>
      <c r="BA277">
        <f t="shared" si="163"/>
        <v>146</v>
      </c>
      <c r="BB277">
        <f t="shared" si="164"/>
        <v>158.5</v>
      </c>
      <c r="BC277">
        <f t="shared" si="165"/>
        <v>154.30000000000001</v>
      </c>
      <c r="BD277">
        <f t="shared" si="166"/>
        <v>149</v>
      </c>
      <c r="BE277">
        <f t="shared" si="167"/>
        <v>153.9</v>
      </c>
      <c r="BF277">
        <f t="shared" si="168"/>
        <v>1995.1999999999998</v>
      </c>
      <c r="BG277">
        <f t="shared" si="169"/>
        <v>448.2</v>
      </c>
      <c r="BH277">
        <f t="shared" si="170"/>
        <v>309.3</v>
      </c>
      <c r="BI277">
        <f t="shared" si="171"/>
        <v>462.4</v>
      </c>
      <c r="BJ277">
        <f t="shared" si="172"/>
        <v>477.6</v>
      </c>
      <c r="BK277">
        <f t="shared" si="173"/>
        <v>281.5</v>
      </c>
    </row>
    <row r="278" spans="1:63" x14ac:dyDescent="0.35">
      <c r="A278" t="s">
        <v>30</v>
      </c>
      <c r="B278">
        <v>2020</v>
      </c>
      <c r="C278" t="s">
        <v>42</v>
      </c>
      <c r="D278">
        <v>146.9</v>
      </c>
      <c r="E278">
        <v>183.9</v>
      </c>
      <c r="F278">
        <v>149.5</v>
      </c>
      <c r="G278">
        <v>153.4</v>
      </c>
      <c r="H278">
        <v>140.4</v>
      </c>
      <c r="I278">
        <v>147</v>
      </c>
      <c r="J278">
        <v>178.8</v>
      </c>
      <c r="K278">
        <v>149.30000000000001</v>
      </c>
      <c r="L278">
        <v>115.1</v>
      </c>
      <c r="M278">
        <v>160</v>
      </c>
      <c r="N278">
        <v>145.4</v>
      </c>
      <c r="O278">
        <v>161.6</v>
      </c>
      <c r="P278">
        <v>156.1</v>
      </c>
      <c r="Q278">
        <v>182.9</v>
      </c>
      <c r="R278">
        <v>155.4</v>
      </c>
      <c r="S278">
        <v>149.9</v>
      </c>
      <c r="T278">
        <v>154.6</v>
      </c>
      <c r="U278" t="s">
        <v>32</v>
      </c>
      <c r="V278">
        <v>146.4</v>
      </c>
      <c r="W278">
        <v>151.6</v>
      </c>
      <c r="X278">
        <v>159.1</v>
      </c>
      <c r="Y278">
        <v>144.6</v>
      </c>
      <c r="Z278">
        <v>152.80000000000001</v>
      </c>
      <c r="AA278">
        <v>161.1</v>
      </c>
      <c r="AB278">
        <v>157.4</v>
      </c>
      <c r="AC278">
        <v>153.69999999999999</v>
      </c>
      <c r="AD278">
        <v>155.4</v>
      </c>
      <c r="AE278">
        <f t="shared" si="141"/>
        <v>146.9</v>
      </c>
      <c r="AF278">
        <f t="shared" si="142"/>
        <v>183.9</v>
      </c>
      <c r="AG278">
        <f t="shared" si="143"/>
        <v>149.5</v>
      </c>
      <c r="AH278">
        <f t="shared" si="144"/>
        <v>153.4</v>
      </c>
      <c r="AI278">
        <f t="shared" si="145"/>
        <v>140.4</v>
      </c>
      <c r="AJ278">
        <f t="shared" si="146"/>
        <v>147</v>
      </c>
      <c r="AK278">
        <f t="shared" si="147"/>
        <v>178.8</v>
      </c>
      <c r="AL278">
        <f t="shared" si="148"/>
        <v>149.30000000000001</v>
      </c>
      <c r="AM278">
        <f t="shared" si="149"/>
        <v>115.1</v>
      </c>
      <c r="AN278">
        <f t="shared" si="150"/>
        <v>160</v>
      </c>
      <c r="AO278">
        <f t="shared" si="151"/>
        <v>145.4</v>
      </c>
      <c r="AP278">
        <f t="shared" si="152"/>
        <v>161.6</v>
      </c>
      <c r="AQ278">
        <f t="shared" si="153"/>
        <v>156.1</v>
      </c>
      <c r="AR278">
        <f t="shared" si="154"/>
        <v>182.9</v>
      </c>
      <c r="AS278">
        <f t="shared" si="155"/>
        <v>155.4</v>
      </c>
      <c r="AT278">
        <f t="shared" si="156"/>
        <v>149.9</v>
      </c>
      <c r="AU278">
        <f t="shared" si="157"/>
        <v>154.6</v>
      </c>
      <c r="AV278">
        <f t="shared" si="158"/>
        <v>156.30000000000001</v>
      </c>
      <c r="AW278">
        <f t="shared" si="159"/>
        <v>146.4</v>
      </c>
      <c r="AX278">
        <f t="shared" si="160"/>
        <v>151.6</v>
      </c>
      <c r="AY278">
        <f t="shared" si="161"/>
        <v>159.1</v>
      </c>
      <c r="AZ278">
        <f t="shared" si="162"/>
        <v>144.6</v>
      </c>
      <c r="BA278">
        <f t="shared" si="163"/>
        <v>152.80000000000001</v>
      </c>
      <c r="BB278">
        <f t="shared" si="164"/>
        <v>161.1</v>
      </c>
      <c r="BC278">
        <f t="shared" si="165"/>
        <v>157.4</v>
      </c>
      <c r="BD278">
        <f t="shared" si="166"/>
        <v>153.69999999999999</v>
      </c>
      <c r="BE278">
        <f t="shared" si="167"/>
        <v>155.4</v>
      </c>
      <c r="BF278">
        <f t="shared" si="168"/>
        <v>1987.3999999999999</v>
      </c>
      <c r="BG278">
        <f t="shared" si="169"/>
        <v>459.9</v>
      </c>
      <c r="BH278">
        <f t="shared" si="170"/>
        <v>316.5</v>
      </c>
      <c r="BI278">
        <f t="shared" si="171"/>
        <v>469</v>
      </c>
      <c r="BJ278">
        <f t="shared" si="172"/>
        <v>489.40000000000003</v>
      </c>
      <c r="BK278">
        <f t="shared" si="173"/>
        <v>291</v>
      </c>
    </row>
    <row r="279" spans="1:63" x14ac:dyDescent="0.35">
      <c r="A279" t="s">
        <v>33</v>
      </c>
      <c r="B279">
        <v>2020</v>
      </c>
      <c r="C279" t="s">
        <v>42</v>
      </c>
      <c r="D279">
        <v>151.5</v>
      </c>
      <c r="E279">
        <v>193.1</v>
      </c>
      <c r="F279">
        <v>157.30000000000001</v>
      </c>
      <c r="G279">
        <v>153.9</v>
      </c>
      <c r="H279">
        <v>134.4</v>
      </c>
      <c r="I279">
        <v>155.4</v>
      </c>
      <c r="J279">
        <v>202</v>
      </c>
      <c r="K279">
        <v>150.80000000000001</v>
      </c>
      <c r="L279">
        <v>118.9</v>
      </c>
      <c r="M279">
        <v>160.9</v>
      </c>
      <c r="N279">
        <v>137.69999999999999</v>
      </c>
      <c r="O279">
        <v>164.4</v>
      </c>
      <c r="P279">
        <v>161.30000000000001</v>
      </c>
      <c r="Q279">
        <v>188.7</v>
      </c>
      <c r="R279">
        <v>150.19999999999999</v>
      </c>
      <c r="S279">
        <v>136.30000000000001</v>
      </c>
      <c r="T279">
        <v>148.1</v>
      </c>
      <c r="U279">
        <v>156.30000000000001</v>
      </c>
      <c r="V279">
        <v>137.19999999999999</v>
      </c>
      <c r="W279">
        <v>145.4</v>
      </c>
      <c r="X279">
        <v>150</v>
      </c>
      <c r="Y279">
        <v>135.1</v>
      </c>
      <c r="Z279">
        <v>141.80000000000001</v>
      </c>
      <c r="AA279">
        <v>154.9</v>
      </c>
      <c r="AB279">
        <v>159.80000000000001</v>
      </c>
      <c r="AC279">
        <v>146</v>
      </c>
      <c r="AD279">
        <v>154</v>
      </c>
      <c r="AE279">
        <f t="shared" si="141"/>
        <v>151.5</v>
      </c>
      <c r="AF279">
        <f t="shared" si="142"/>
        <v>193.1</v>
      </c>
      <c r="AG279">
        <f t="shared" si="143"/>
        <v>157.30000000000001</v>
      </c>
      <c r="AH279">
        <f t="shared" si="144"/>
        <v>153.9</v>
      </c>
      <c r="AI279">
        <f t="shared" si="145"/>
        <v>134.4</v>
      </c>
      <c r="AJ279">
        <f t="shared" si="146"/>
        <v>155.4</v>
      </c>
      <c r="AK279">
        <f t="shared" si="147"/>
        <v>202</v>
      </c>
      <c r="AL279">
        <f t="shared" si="148"/>
        <v>150.80000000000001</v>
      </c>
      <c r="AM279">
        <f t="shared" si="149"/>
        <v>118.9</v>
      </c>
      <c r="AN279">
        <f t="shared" si="150"/>
        <v>160.9</v>
      </c>
      <c r="AO279">
        <f t="shared" si="151"/>
        <v>137.69999999999999</v>
      </c>
      <c r="AP279">
        <f t="shared" si="152"/>
        <v>164.4</v>
      </c>
      <c r="AQ279">
        <f t="shared" si="153"/>
        <v>161.30000000000001</v>
      </c>
      <c r="AR279">
        <f t="shared" si="154"/>
        <v>188.7</v>
      </c>
      <c r="AS279">
        <f t="shared" si="155"/>
        <v>150.19999999999999</v>
      </c>
      <c r="AT279">
        <f t="shared" si="156"/>
        <v>136.30000000000001</v>
      </c>
      <c r="AU279">
        <f t="shared" si="157"/>
        <v>148.1</v>
      </c>
      <c r="AV279">
        <f t="shared" si="158"/>
        <v>156.30000000000001</v>
      </c>
      <c r="AW279">
        <f t="shared" si="159"/>
        <v>137.19999999999999</v>
      </c>
      <c r="AX279">
        <f t="shared" si="160"/>
        <v>145.4</v>
      </c>
      <c r="AY279">
        <f t="shared" si="161"/>
        <v>150</v>
      </c>
      <c r="AZ279">
        <f t="shared" si="162"/>
        <v>135.1</v>
      </c>
      <c r="BA279">
        <f t="shared" si="163"/>
        <v>141.80000000000001</v>
      </c>
      <c r="BB279">
        <f t="shared" si="164"/>
        <v>154.9</v>
      </c>
      <c r="BC279">
        <f t="shared" si="165"/>
        <v>159.80000000000001</v>
      </c>
      <c r="BD279">
        <f t="shared" si="166"/>
        <v>146</v>
      </c>
      <c r="BE279">
        <f t="shared" si="167"/>
        <v>154</v>
      </c>
      <c r="BF279">
        <f t="shared" si="168"/>
        <v>2041.6000000000001</v>
      </c>
      <c r="BG279">
        <f t="shared" si="169"/>
        <v>434.6</v>
      </c>
      <c r="BH279">
        <f t="shared" si="170"/>
        <v>309.8</v>
      </c>
      <c r="BI279">
        <f t="shared" si="171"/>
        <v>456.6</v>
      </c>
      <c r="BJ279">
        <f t="shared" si="172"/>
        <v>476.5</v>
      </c>
      <c r="BK279">
        <f t="shared" si="173"/>
        <v>272.29999999999995</v>
      </c>
    </row>
    <row r="280" spans="1:63" x14ac:dyDescent="0.35">
      <c r="A280" t="s">
        <v>34</v>
      </c>
      <c r="B280">
        <v>2020</v>
      </c>
      <c r="C280" t="s">
        <v>42</v>
      </c>
      <c r="D280">
        <v>148.4</v>
      </c>
      <c r="E280">
        <v>187.1</v>
      </c>
      <c r="F280">
        <v>152.5</v>
      </c>
      <c r="G280">
        <v>153.6</v>
      </c>
      <c r="H280">
        <v>138.19999999999999</v>
      </c>
      <c r="I280">
        <v>150.9</v>
      </c>
      <c r="J280">
        <v>186.7</v>
      </c>
      <c r="K280">
        <v>149.80000000000001</v>
      </c>
      <c r="L280">
        <v>116.4</v>
      </c>
      <c r="M280">
        <v>160.30000000000001</v>
      </c>
      <c r="N280">
        <v>142.19999999999999</v>
      </c>
      <c r="O280">
        <v>162.9</v>
      </c>
      <c r="P280">
        <v>158</v>
      </c>
      <c r="Q280">
        <v>184.4</v>
      </c>
      <c r="R280">
        <v>153.4</v>
      </c>
      <c r="S280">
        <v>144.30000000000001</v>
      </c>
      <c r="T280">
        <v>152</v>
      </c>
      <c r="U280">
        <v>156.30000000000001</v>
      </c>
      <c r="V280">
        <v>142.9</v>
      </c>
      <c r="W280">
        <v>148.69999999999999</v>
      </c>
      <c r="X280">
        <v>155.6</v>
      </c>
      <c r="Y280">
        <v>139.6</v>
      </c>
      <c r="Z280">
        <v>146.6</v>
      </c>
      <c r="AA280">
        <v>157.5</v>
      </c>
      <c r="AB280">
        <v>158.4</v>
      </c>
      <c r="AC280">
        <v>150</v>
      </c>
      <c r="AD280">
        <v>154.69999999999999</v>
      </c>
      <c r="AE280">
        <f t="shared" si="141"/>
        <v>148.4</v>
      </c>
      <c r="AF280">
        <f t="shared" si="142"/>
        <v>187.1</v>
      </c>
      <c r="AG280">
        <f t="shared" si="143"/>
        <v>152.5</v>
      </c>
      <c r="AH280">
        <f t="shared" si="144"/>
        <v>153.6</v>
      </c>
      <c r="AI280">
        <f t="shared" si="145"/>
        <v>138.19999999999999</v>
      </c>
      <c r="AJ280">
        <f t="shared" si="146"/>
        <v>150.9</v>
      </c>
      <c r="AK280">
        <f t="shared" si="147"/>
        <v>186.7</v>
      </c>
      <c r="AL280">
        <f t="shared" si="148"/>
        <v>149.80000000000001</v>
      </c>
      <c r="AM280">
        <f t="shared" si="149"/>
        <v>116.4</v>
      </c>
      <c r="AN280">
        <f t="shared" si="150"/>
        <v>160.30000000000001</v>
      </c>
      <c r="AO280">
        <f t="shared" si="151"/>
        <v>142.19999999999999</v>
      </c>
      <c r="AP280">
        <f t="shared" si="152"/>
        <v>162.9</v>
      </c>
      <c r="AQ280">
        <f t="shared" si="153"/>
        <v>158</v>
      </c>
      <c r="AR280">
        <f t="shared" si="154"/>
        <v>184.4</v>
      </c>
      <c r="AS280">
        <f t="shared" si="155"/>
        <v>153.4</v>
      </c>
      <c r="AT280">
        <f t="shared" si="156"/>
        <v>144.30000000000001</v>
      </c>
      <c r="AU280">
        <f t="shared" si="157"/>
        <v>152</v>
      </c>
      <c r="AV280">
        <f t="shared" si="158"/>
        <v>156.30000000000001</v>
      </c>
      <c r="AW280">
        <f t="shared" si="159"/>
        <v>142.9</v>
      </c>
      <c r="AX280">
        <f t="shared" si="160"/>
        <v>148.69999999999999</v>
      </c>
      <c r="AY280">
        <f t="shared" si="161"/>
        <v>155.6</v>
      </c>
      <c r="AZ280">
        <f t="shared" si="162"/>
        <v>139.6</v>
      </c>
      <c r="BA280">
        <f t="shared" si="163"/>
        <v>146.6</v>
      </c>
      <c r="BB280">
        <f t="shared" si="164"/>
        <v>157.5</v>
      </c>
      <c r="BC280">
        <f t="shared" si="165"/>
        <v>158.4</v>
      </c>
      <c r="BD280">
        <f t="shared" si="166"/>
        <v>150</v>
      </c>
      <c r="BE280">
        <f t="shared" si="167"/>
        <v>154.69999999999999</v>
      </c>
      <c r="BF280">
        <f t="shared" si="168"/>
        <v>2007</v>
      </c>
      <c r="BG280">
        <f t="shared" si="169"/>
        <v>449.70000000000005</v>
      </c>
      <c r="BH280">
        <f t="shared" si="170"/>
        <v>314</v>
      </c>
      <c r="BI280">
        <f t="shared" si="171"/>
        <v>462.5</v>
      </c>
      <c r="BJ280">
        <f t="shared" si="172"/>
        <v>481</v>
      </c>
      <c r="BK280">
        <f t="shared" si="173"/>
        <v>282.5</v>
      </c>
    </row>
    <row r="281" spans="1:63" x14ac:dyDescent="0.35">
      <c r="A281" t="s">
        <v>30</v>
      </c>
      <c r="B281">
        <v>2020</v>
      </c>
      <c r="C281" t="s">
        <v>43</v>
      </c>
      <c r="D281">
        <v>146</v>
      </c>
      <c r="E281">
        <v>186.3</v>
      </c>
      <c r="F281">
        <v>159.19999999999999</v>
      </c>
      <c r="G281">
        <v>153.6</v>
      </c>
      <c r="H281">
        <v>142.6</v>
      </c>
      <c r="I281">
        <v>147.19999999999999</v>
      </c>
      <c r="J281">
        <v>200.6</v>
      </c>
      <c r="K281">
        <v>150.30000000000001</v>
      </c>
      <c r="L281">
        <v>115.3</v>
      </c>
      <c r="M281">
        <v>160.9</v>
      </c>
      <c r="N281">
        <v>147.4</v>
      </c>
      <c r="O281">
        <v>161.9</v>
      </c>
      <c r="P281">
        <v>159.6</v>
      </c>
      <c r="Q281">
        <v>182.7</v>
      </c>
      <c r="R281">
        <v>155.69999999999999</v>
      </c>
      <c r="S281">
        <v>150.6</v>
      </c>
      <c r="T281">
        <v>155</v>
      </c>
      <c r="U281" t="s">
        <v>32</v>
      </c>
      <c r="V281">
        <v>146.80000000000001</v>
      </c>
      <c r="W281">
        <v>152</v>
      </c>
      <c r="X281">
        <v>159.5</v>
      </c>
      <c r="Y281">
        <v>146.4</v>
      </c>
      <c r="Z281">
        <v>152.4</v>
      </c>
      <c r="AA281">
        <v>162.5</v>
      </c>
      <c r="AB281">
        <v>156.19999999999999</v>
      </c>
      <c r="AC281">
        <v>154.30000000000001</v>
      </c>
      <c r="AD281">
        <v>157.5</v>
      </c>
      <c r="AE281">
        <f t="shared" si="141"/>
        <v>146</v>
      </c>
      <c r="AF281">
        <f t="shared" si="142"/>
        <v>186.3</v>
      </c>
      <c r="AG281">
        <f t="shared" si="143"/>
        <v>159.19999999999999</v>
      </c>
      <c r="AH281">
        <f t="shared" si="144"/>
        <v>153.6</v>
      </c>
      <c r="AI281">
        <f t="shared" si="145"/>
        <v>142.6</v>
      </c>
      <c r="AJ281">
        <f t="shared" si="146"/>
        <v>147.19999999999999</v>
      </c>
      <c r="AK281">
        <f t="shared" si="147"/>
        <v>200.6</v>
      </c>
      <c r="AL281">
        <f t="shared" si="148"/>
        <v>150.30000000000001</v>
      </c>
      <c r="AM281">
        <f t="shared" si="149"/>
        <v>115.3</v>
      </c>
      <c r="AN281">
        <f t="shared" si="150"/>
        <v>160.9</v>
      </c>
      <c r="AO281">
        <f t="shared" si="151"/>
        <v>147.4</v>
      </c>
      <c r="AP281">
        <f t="shared" si="152"/>
        <v>161.9</v>
      </c>
      <c r="AQ281">
        <f t="shared" si="153"/>
        <v>159.6</v>
      </c>
      <c r="AR281">
        <f t="shared" si="154"/>
        <v>182.7</v>
      </c>
      <c r="AS281">
        <f t="shared" si="155"/>
        <v>155.69999999999999</v>
      </c>
      <c r="AT281">
        <f t="shared" si="156"/>
        <v>150.6</v>
      </c>
      <c r="AU281">
        <f t="shared" si="157"/>
        <v>155</v>
      </c>
      <c r="AV281">
        <f t="shared" si="158"/>
        <v>156.5</v>
      </c>
      <c r="AW281">
        <f t="shared" si="159"/>
        <v>146.80000000000001</v>
      </c>
      <c r="AX281">
        <f t="shared" si="160"/>
        <v>152</v>
      </c>
      <c r="AY281">
        <f t="shared" si="161"/>
        <v>159.5</v>
      </c>
      <c r="AZ281">
        <f t="shared" si="162"/>
        <v>146.4</v>
      </c>
      <c r="BA281">
        <f t="shared" si="163"/>
        <v>152.4</v>
      </c>
      <c r="BB281">
        <f t="shared" si="164"/>
        <v>162.5</v>
      </c>
      <c r="BC281">
        <f t="shared" si="165"/>
        <v>156.19999999999999</v>
      </c>
      <c r="BD281">
        <f t="shared" si="166"/>
        <v>154.30000000000001</v>
      </c>
      <c r="BE281">
        <f t="shared" si="167"/>
        <v>157.5</v>
      </c>
      <c r="BF281">
        <f t="shared" si="168"/>
        <v>2030.9</v>
      </c>
      <c r="BG281">
        <f t="shared" si="169"/>
        <v>461.29999999999995</v>
      </c>
      <c r="BH281">
        <f t="shared" si="170"/>
        <v>315.7</v>
      </c>
      <c r="BI281">
        <f t="shared" si="171"/>
        <v>471</v>
      </c>
      <c r="BJ281">
        <f t="shared" si="172"/>
        <v>489.40000000000003</v>
      </c>
      <c r="BK281">
        <f t="shared" si="173"/>
        <v>293.20000000000005</v>
      </c>
    </row>
    <row r="282" spans="1:63" x14ac:dyDescent="0.35">
      <c r="A282" t="s">
        <v>33</v>
      </c>
      <c r="B282">
        <v>2020</v>
      </c>
      <c r="C282" t="s">
        <v>43</v>
      </c>
      <c r="D282">
        <v>150.6</v>
      </c>
      <c r="E282">
        <v>193.7</v>
      </c>
      <c r="F282">
        <v>164.8</v>
      </c>
      <c r="G282">
        <v>153.69999999999999</v>
      </c>
      <c r="H282">
        <v>135.69999999999999</v>
      </c>
      <c r="I282">
        <v>155.69999999999999</v>
      </c>
      <c r="J282">
        <v>226</v>
      </c>
      <c r="K282">
        <v>152.19999999999999</v>
      </c>
      <c r="L282">
        <v>118.1</v>
      </c>
      <c r="M282">
        <v>161.30000000000001</v>
      </c>
      <c r="N282">
        <v>139.19999999999999</v>
      </c>
      <c r="O282">
        <v>164.8</v>
      </c>
      <c r="P282">
        <v>164.4</v>
      </c>
      <c r="Q282">
        <v>188.7</v>
      </c>
      <c r="R282">
        <v>150.5</v>
      </c>
      <c r="S282">
        <v>136.1</v>
      </c>
      <c r="T282">
        <v>148.30000000000001</v>
      </c>
      <c r="U282">
        <v>156.5</v>
      </c>
      <c r="V282">
        <v>137.1</v>
      </c>
      <c r="W282">
        <v>145.1</v>
      </c>
      <c r="X282">
        <v>151</v>
      </c>
      <c r="Y282">
        <v>135.4</v>
      </c>
      <c r="Z282">
        <v>142</v>
      </c>
      <c r="AA282">
        <v>155.69999999999999</v>
      </c>
      <c r="AB282">
        <v>158.1</v>
      </c>
      <c r="AC282">
        <v>146.19999999999999</v>
      </c>
      <c r="AD282">
        <v>155.19999999999999</v>
      </c>
      <c r="AE282">
        <f t="shared" si="141"/>
        <v>150.6</v>
      </c>
      <c r="AF282">
        <f t="shared" si="142"/>
        <v>193.7</v>
      </c>
      <c r="AG282">
        <f t="shared" si="143"/>
        <v>164.8</v>
      </c>
      <c r="AH282">
        <f t="shared" si="144"/>
        <v>153.69999999999999</v>
      </c>
      <c r="AI282">
        <f t="shared" si="145"/>
        <v>135.69999999999999</v>
      </c>
      <c r="AJ282">
        <f t="shared" si="146"/>
        <v>155.69999999999999</v>
      </c>
      <c r="AK282">
        <f t="shared" si="147"/>
        <v>226</v>
      </c>
      <c r="AL282">
        <f t="shared" si="148"/>
        <v>152.19999999999999</v>
      </c>
      <c r="AM282">
        <f t="shared" si="149"/>
        <v>118.1</v>
      </c>
      <c r="AN282">
        <f t="shared" si="150"/>
        <v>161.30000000000001</v>
      </c>
      <c r="AO282">
        <f t="shared" si="151"/>
        <v>139.19999999999999</v>
      </c>
      <c r="AP282">
        <f t="shared" si="152"/>
        <v>164.8</v>
      </c>
      <c r="AQ282">
        <f t="shared" si="153"/>
        <v>164.4</v>
      </c>
      <c r="AR282">
        <f t="shared" si="154"/>
        <v>188.7</v>
      </c>
      <c r="AS282">
        <f t="shared" si="155"/>
        <v>150.5</v>
      </c>
      <c r="AT282">
        <f t="shared" si="156"/>
        <v>136.1</v>
      </c>
      <c r="AU282">
        <f t="shared" si="157"/>
        <v>148.30000000000001</v>
      </c>
      <c r="AV282">
        <f t="shared" si="158"/>
        <v>156.5</v>
      </c>
      <c r="AW282">
        <f t="shared" si="159"/>
        <v>137.1</v>
      </c>
      <c r="AX282">
        <f t="shared" si="160"/>
        <v>145.1</v>
      </c>
      <c r="AY282">
        <f t="shared" si="161"/>
        <v>151</v>
      </c>
      <c r="AZ282">
        <f t="shared" si="162"/>
        <v>135.4</v>
      </c>
      <c r="BA282">
        <f t="shared" si="163"/>
        <v>142</v>
      </c>
      <c r="BB282">
        <f t="shared" si="164"/>
        <v>155.69999999999999</v>
      </c>
      <c r="BC282">
        <f t="shared" si="165"/>
        <v>158.1</v>
      </c>
      <c r="BD282">
        <f t="shared" si="166"/>
        <v>146.19999999999999</v>
      </c>
      <c r="BE282">
        <f t="shared" si="167"/>
        <v>155.19999999999999</v>
      </c>
      <c r="BF282">
        <f t="shared" si="168"/>
        <v>2080.1999999999998</v>
      </c>
      <c r="BG282">
        <f t="shared" si="169"/>
        <v>434.90000000000003</v>
      </c>
      <c r="BH282">
        <f t="shared" si="170"/>
        <v>309.10000000000002</v>
      </c>
      <c r="BI282">
        <f t="shared" si="171"/>
        <v>457.29999999999995</v>
      </c>
      <c r="BJ282">
        <f t="shared" si="172"/>
        <v>476.9</v>
      </c>
      <c r="BK282">
        <f t="shared" si="173"/>
        <v>272.5</v>
      </c>
    </row>
    <row r="283" spans="1:63" x14ac:dyDescent="0.35">
      <c r="A283" t="s">
        <v>34</v>
      </c>
      <c r="B283">
        <v>2020</v>
      </c>
      <c r="C283" t="s">
        <v>43</v>
      </c>
      <c r="D283">
        <v>147.5</v>
      </c>
      <c r="E283">
        <v>188.9</v>
      </c>
      <c r="F283">
        <v>161.4</v>
      </c>
      <c r="G283">
        <v>153.6</v>
      </c>
      <c r="H283">
        <v>140.1</v>
      </c>
      <c r="I283">
        <v>151.19999999999999</v>
      </c>
      <c r="J283">
        <v>209.2</v>
      </c>
      <c r="K283">
        <v>150.9</v>
      </c>
      <c r="L283">
        <v>116.2</v>
      </c>
      <c r="M283">
        <v>161</v>
      </c>
      <c r="N283">
        <v>144</v>
      </c>
      <c r="O283">
        <v>163.19999999999999</v>
      </c>
      <c r="P283">
        <v>161.4</v>
      </c>
      <c r="Q283">
        <v>184.3</v>
      </c>
      <c r="R283">
        <v>153.69999999999999</v>
      </c>
      <c r="S283">
        <v>144.6</v>
      </c>
      <c r="T283">
        <v>152.30000000000001</v>
      </c>
      <c r="U283">
        <v>156.5</v>
      </c>
      <c r="V283">
        <v>143.1</v>
      </c>
      <c r="W283">
        <v>148.69999999999999</v>
      </c>
      <c r="X283">
        <v>156.30000000000001</v>
      </c>
      <c r="Y283">
        <v>140.6</v>
      </c>
      <c r="Z283">
        <v>146.5</v>
      </c>
      <c r="AA283">
        <v>158.5</v>
      </c>
      <c r="AB283">
        <v>157</v>
      </c>
      <c r="AC283">
        <v>150.4</v>
      </c>
      <c r="AD283">
        <v>156.4</v>
      </c>
      <c r="AE283">
        <f t="shared" si="141"/>
        <v>147.5</v>
      </c>
      <c r="AF283">
        <f t="shared" si="142"/>
        <v>188.9</v>
      </c>
      <c r="AG283">
        <f t="shared" si="143"/>
        <v>161.4</v>
      </c>
      <c r="AH283">
        <f t="shared" si="144"/>
        <v>153.6</v>
      </c>
      <c r="AI283">
        <f t="shared" si="145"/>
        <v>140.1</v>
      </c>
      <c r="AJ283">
        <f t="shared" si="146"/>
        <v>151.19999999999999</v>
      </c>
      <c r="AK283">
        <f t="shared" si="147"/>
        <v>209.2</v>
      </c>
      <c r="AL283">
        <f t="shared" si="148"/>
        <v>150.9</v>
      </c>
      <c r="AM283">
        <f t="shared" si="149"/>
        <v>116.2</v>
      </c>
      <c r="AN283">
        <f t="shared" si="150"/>
        <v>161</v>
      </c>
      <c r="AO283">
        <f t="shared" si="151"/>
        <v>144</v>
      </c>
      <c r="AP283">
        <f t="shared" si="152"/>
        <v>163.19999999999999</v>
      </c>
      <c r="AQ283">
        <f t="shared" si="153"/>
        <v>161.4</v>
      </c>
      <c r="AR283">
        <f t="shared" si="154"/>
        <v>184.3</v>
      </c>
      <c r="AS283">
        <f t="shared" si="155"/>
        <v>153.69999999999999</v>
      </c>
      <c r="AT283">
        <f t="shared" si="156"/>
        <v>144.6</v>
      </c>
      <c r="AU283">
        <f t="shared" si="157"/>
        <v>152.30000000000001</v>
      </c>
      <c r="AV283">
        <f t="shared" si="158"/>
        <v>156.5</v>
      </c>
      <c r="AW283">
        <f t="shared" si="159"/>
        <v>143.1</v>
      </c>
      <c r="AX283">
        <f t="shared" si="160"/>
        <v>148.69999999999999</v>
      </c>
      <c r="AY283">
        <f t="shared" si="161"/>
        <v>156.30000000000001</v>
      </c>
      <c r="AZ283">
        <f t="shared" si="162"/>
        <v>140.6</v>
      </c>
      <c r="BA283">
        <f t="shared" si="163"/>
        <v>146.5</v>
      </c>
      <c r="BB283">
        <f t="shared" si="164"/>
        <v>158.5</v>
      </c>
      <c r="BC283">
        <f t="shared" si="165"/>
        <v>157</v>
      </c>
      <c r="BD283">
        <f t="shared" si="166"/>
        <v>150.4</v>
      </c>
      <c r="BE283">
        <f t="shared" si="167"/>
        <v>156.4</v>
      </c>
      <c r="BF283">
        <f t="shared" si="168"/>
        <v>2048.6000000000004</v>
      </c>
      <c r="BG283">
        <f t="shared" si="169"/>
        <v>450.59999999999997</v>
      </c>
      <c r="BH283">
        <f t="shared" si="170"/>
        <v>313.3</v>
      </c>
      <c r="BI283">
        <f t="shared" si="171"/>
        <v>463.7</v>
      </c>
      <c r="BJ283">
        <f t="shared" si="172"/>
        <v>481.20000000000005</v>
      </c>
      <c r="BK283">
        <f t="shared" si="173"/>
        <v>283.7</v>
      </c>
    </row>
    <row r="284" spans="1:63" x14ac:dyDescent="0.35">
      <c r="A284" t="s">
        <v>30</v>
      </c>
      <c r="B284">
        <v>2020</v>
      </c>
      <c r="C284" t="s">
        <v>45</v>
      </c>
      <c r="D284">
        <v>145.4</v>
      </c>
      <c r="E284">
        <v>188.6</v>
      </c>
      <c r="F284">
        <v>171.6</v>
      </c>
      <c r="G284">
        <v>153.80000000000001</v>
      </c>
      <c r="H284">
        <v>145.4</v>
      </c>
      <c r="I284">
        <v>146.5</v>
      </c>
      <c r="J284">
        <v>222.2</v>
      </c>
      <c r="K284">
        <v>155.9</v>
      </c>
      <c r="L284">
        <v>114.9</v>
      </c>
      <c r="M284">
        <v>162</v>
      </c>
      <c r="N284">
        <v>150</v>
      </c>
      <c r="O284">
        <v>162.69999999999999</v>
      </c>
      <c r="P284">
        <v>163.4</v>
      </c>
      <c r="Q284">
        <v>183.4</v>
      </c>
      <c r="R284">
        <v>156.30000000000001</v>
      </c>
      <c r="S284">
        <v>151</v>
      </c>
      <c r="T284">
        <v>155.5</v>
      </c>
      <c r="U284" t="s">
        <v>32</v>
      </c>
      <c r="V284">
        <v>147.5</v>
      </c>
      <c r="W284">
        <v>152.80000000000001</v>
      </c>
      <c r="X284">
        <v>160.4</v>
      </c>
      <c r="Y284">
        <v>146.1</v>
      </c>
      <c r="Z284">
        <v>153.6</v>
      </c>
      <c r="AA284">
        <v>161.6</v>
      </c>
      <c r="AB284">
        <v>156.19999999999999</v>
      </c>
      <c r="AC284">
        <v>154.5</v>
      </c>
      <c r="AD284">
        <v>159.80000000000001</v>
      </c>
      <c r="AE284">
        <f t="shared" si="141"/>
        <v>145.4</v>
      </c>
      <c r="AF284">
        <f t="shared" si="142"/>
        <v>188.6</v>
      </c>
      <c r="AG284">
        <f t="shared" si="143"/>
        <v>171.6</v>
      </c>
      <c r="AH284">
        <f t="shared" si="144"/>
        <v>153.80000000000001</v>
      </c>
      <c r="AI284">
        <f t="shared" si="145"/>
        <v>145.4</v>
      </c>
      <c r="AJ284">
        <f t="shared" si="146"/>
        <v>146.5</v>
      </c>
      <c r="AK284">
        <f t="shared" si="147"/>
        <v>222.2</v>
      </c>
      <c r="AL284">
        <f t="shared" si="148"/>
        <v>155.9</v>
      </c>
      <c r="AM284">
        <f t="shared" si="149"/>
        <v>114.9</v>
      </c>
      <c r="AN284">
        <f t="shared" si="150"/>
        <v>162</v>
      </c>
      <c r="AO284">
        <f t="shared" si="151"/>
        <v>150</v>
      </c>
      <c r="AP284">
        <f t="shared" si="152"/>
        <v>162.69999999999999</v>
      </c>
      <c r="AQ284">
        <f t="shared" si="153"/>
        <v>163.4</v>
      </c>
      <c r="AR284">
        <f t="shared" si="154"/>
        <v>183.4</v>
      </c>
      <c r="AS284">
        <f t="shared" si="155"/>
        <v>156.30000000000001</v>
      </c>
      <c r="AT284">
        <f t="shared" si="156"/>
        <v>151</v>
      </c>
      <c r="AU284">
        <f t="shared" si="157"/>
        <v>155.5</v>
      </c>
      <c r="AV284">
        <f t="shared" si="158"/>
        <v>158</v>
      </c>
      <c r="AW284">
        <f t="shared" si="159"/>
        <v>147.5</v>
      </c>
      <c r="AX284">
        <f t="shared" si="160"/>
        <v>152.80000000000001</v>
      </c>
      <c r="AY284">
        <f t="shared" si="161"/>
        <v>160.4</v>
      </c>
      <c r="AZ284">
        <f t="shared" si="162"/>
        <v>146.1</v>
      </c>
      <c r="BA284">
        <f t="shared" si="163"/>
        <v>153.6</v>
      </c>
      <c r="BB284">
        <f t="shared" si="164"/>
        <v>161.6</v>
      </c>
      <c r="BC284">
        <f t="shared" si="165"/>
        <v>156.19999999999999</v>
      </c>
      <c r="BD284">
        <f t="shared" si="166"/>
        <v>154.5</v>
      </c>
      <c r="BE284">
        <f t="shared" si="167"/>
        <v>159.80000000000001</v>
      </c>
      <c r="BF284">
        <f t="shared" si="168"/>
        <v>2082.4</v>
      </c>
      <c r="BG284">
        <f t="shared" si="169"/>
        <v>462.8</v>
      </c>
      <c r="BH284">
        <f t="shared" si="170"/>
        <v>316.60000000000002</v>
      </c>
      <c r="BI284">
        <f t="shared" si="171"/>
        <v>472.4</v>
      </c>
      <c r="BJ284">
        <f t="shared" si="172"/>
        <v>491.5</v>
      </c>
      <c r="BK284">
        <f t="shared" si="173"/>
        <v>293.60000000000002</v>
      </c>
    </row>
    <row r="285" spans="1:63" x14ac:dyDescent="0.35">
      <c r="A285" t="s">
        <v>33</v>
      </c>
      <c r="B285">
        <v>2020</v>
      </c>
      <c r="C285" t="s">
        <v>45</v>
      </c>
      <c r="D285">
        <v>149.69999999999999</v>
      </c>
      <c r="E285">
        <v>195.5</v>
      </c>
      <c r="F285">
        <v>176.9</v>
      </c>
      <c r="G285">
        <v>153.9</v>
      </c>
      <c r="H285">
        <v>138</v>
      </c>
      <c r="I285">
        <v>150.5</v>
      </c>
      <c r="J285">
        <v>245.3</v>
      </c>
      <c r="K285">
        <v>158.69999999999999</v>
      </c>
      <c r="L285">
        <v>117.2</v>
      </c>
      <c r="M285">
        <v>161.4</v>
      </c>
      <c r="N285">
        <v>141.5</v>
      </c>
      <c r="O285">
        <v>165.1</v>
      </c>
      <c r="P285">
        <v>167</v>
      </c>
      <c r="Q285">
        <v>188.8</v>
      </c>
      <c r="R285">
        <v>151.1</v>
      </c>
      <c r="S285">
        <v>136.4</v>
      </c>
      <c r="T285">
        <v>148.80000000000001</v>
      </c>
      <c r="U285">
        <v>158</v>
      </c>
      <c r="V285">
        <v>137.30000000000001</v>
      </c>
      <c r="W285">
        <v>145.1</v>
      </c>
      <c r="X285">
        <v>152</v>
      </c>
      <c r="Y285">
        <v>135.19999999999999</v>
      </c>
      <c r="Z285">
        <v>144.4</v>
      </c>
      <c r="AA285">
        <v>156.4</v>
      </c>
      <c r="AB285">
        <v>157.9</v>
      </c>
      <c r="AC285">
        <v>146.6</v>
      </c>
      <c r="AD285">
        <v>156.69999999999999</v>
      </c>
      <c r="AE285">
        <f t="shared" si="141"/>
        <v>149.69999999999999</v>
      </c>
      <c r="AF285">
        <f t="shared" si="142"/>
        <v>195.5</v>
      </c>
      <c r="AG285">
        <f t="shared" si="143"/>
        <v>176.9</v>
      </c>
      <c r="AH285">
        <f t="shared" si="144"/>
        <v>153.9</v>
      </c>
      <c r="AI285">
        <f t="shared" si="145"/>
        <v>138</v>
      </c>
      <c r="AJ285">
        <f t="shared" si="146"/>
        <v>150.5</v>
      </c>
      <c r="AK285">
        <f t="shared" si="147"/>
        <v>245.3</v>
      </c>
      <c r="AL285">
        <f t="shared" si="148"/>
        <v>158.69999999999999</v>
      </c>
      <c r="AM285">
        <f t="shared" si="149"/>
        <v>117.2</v>
      </c>
      <c r="AN285">
        <f t="shared" si="150"/>
        <v>161.4</v>
      </c>
      <c r="AO285">
        <f t="shared" si="151"/>
        <v>141.5</v>
      </c>
      <c r="AP285">
        <f t="shared" si="152"/>
        <v>165.1</v>
      </c>
      <c r="AQ285">
        <f t="shared" si="153"/>
        <v>167</v>
      </c>
      <c r="AR285">
        <f t="shared" si="154"/>
        <v>188.8</v>
      </c>
      <c r="AS285">
        <f t="shared" si="155"/>
        <v>151.1</v>
      </c>
      <c r="AT285">
        <f t="shared" si="156"/>
        <v>136.4</v>
      </c>
      <c r="AU285">
        <f t="shared" si="157"/>
        <v>148.80000000000001</v>
      </c>
      <c r="AV285">
        <f t="shared" si="158"/>
        <v>158</v>
      </c>
      <c r="AW285">
        <f t="shared" si="159"/>
        <v>137.30000000000001</v>
      </c>
      <c r="AX285">
        <f t="shared" si="160"/>
        <v>145.1</v>
      </c>
      <c r="AY285">
        <f t="shared" si="161"/>
        <v>152</v>
      </c>
      <c r="AZ285">
        <f t="shared" si="162"/>
        <v>135.19999999999999</v>
      </c>
      <c r="BA285">
        <f t="shared" si="163"/>
        <v>144.4</v>
      </c>
      <c r="BB285">
        <f t="shared" si="164"/>
        <v>156.4</v>
      </c>
      <c r="BC285">
        <f t="shared" si="165"/>
        <v>157.9</v>
      </c>
      <c r="BD285">
        <f t="shared" si="166"/>
        <v>146.6</v>
      </c>
      <c r="BE285">
        <f t="shared" si="167"/>
        <v>156.69999999999999</v>
      </c>
      <c r="BF285">
        <f t="shared" si="168"/>
        <v>2120.6999999999998</v>
      </c>
      <c r="BG285">
        <f t="shared" si="169"/>
        <v>436.3</v>
      </c>
      <c r="BH285">
        <f t="shared" si="170"/>
        <v>309.89999999999998</v>
      </c>
      <c r="BI285">
        <f t="shared" si="171"/>
        <v>459.5</v>
      </c>
      <c r="BJ285">
        <f t="shared" si="172"/>
        <v>479.80000000000007</v>
      </c>
      <c r="BK285">
        <f t="shared" si="173"/>
        <v>272.5</v>
      </c>
    </row>
    <row r="286" spans="1:63" x14ac:dyDescent="0.35">
      <c r="A286" t="s">
        <v>34</v>
      </c>
      <c r="B286">
        <v>2020</v>
      </c>
      <c r="C286" t="s">
        <v>45</v>
      </c>
      <c r="D286">
        <v>146.80000000000001</v>
      </c>
      <c r="E286">
        <v>191</v>
      </c>
      <c r="F286">
        <v>173.6</v>
      </c>
      <c r="G286">
        <v>153.80000000000001</v>
      </c>
      <c r="H286">
        <v>142.69999999999999</v>
      </c>
      <c r="I286">
        <v>148.4</v>
      </c>
      <c r="J286">
        <v>230</v>
      </c>
      <c r="K286">
        <v>156.80000000000001</v>
      </c>
      <c r="L286">
        <v>115.7</v>
      </c>
      <c r="M286">
        <v>161.80000000000001</v>
      </c>
      <c r="N286">
        <v>146.5</v>
      </c>
      <c r="O286">
        <v>163.80000000000001</v>
      </c>
      <c r="P286">
        <v>164.7</v>
      </c>
      <c r="Q286">
        <v>184.8</v>
      </c>
      <c r="R286">
        <v>154.30000000000001</v>
      </c>
      <c r="S286">
        <v>144.9</v>
      </c>
      <c r="T286">
        <v>152.80000000000001</v>
      </c>
      <c r="U286">
        <v>158</v>
      </c>
      <c r="V286">
        <v>143.6</v>
      </c>
      <c r="W286">
        <v>149.19999999999999</v>
      </c>
      <c r="X286">
        <v>157.19999999999999</v>
      </c>
      <c r="Y286">
        <v>140.4</v>
      </c>
      <c r="Z286">
        <v>148.4</v>
      </c>
      <c r="AA286">
        <v>158.6</v>
      </c>
      <c r="AB286">
        <v>156.9</v>
      </c>
      <c r="AC286">
        <v>150.69999999999999</v>
      </c>
      <c r="AD286">
        <v>158.4</v>
      </c>
      <c r="AE286">
        <f t="shared" si="141"/>
        <v>146.80000000000001</v>
      </c>
      <c r="AF286">
        <f t="shared" si="142"/>
        <v>191</v>
      </c>
      <c r="AG286">
        <f t="shared" si="143"/>
        <v>173.6</v>
      </c>
      <c r="AH286">
        <f t="shared" si="144"/>
        <v>153.80000000000001</v>
      </c>
      <c r="AI286">
        <f t="shared" si="145"/>
        <v>142.69999999999999</v>
      </c>
      <c r="AJ286">
        <f t="shared" si="146"/>
        <v>148.4</v>
      </c>
      <c r="AK286">
        <f t="shared" si="147"/>
        <v>230</v>
      </c>
      <c r="AL286">
        <f t="shared" si="148"/>
        <v>156.80000000000001</v>
      </c>
      <c r="AM286">
        <f t="shared" si="149"/>
        <v>115.7</v>
      </c>
      <c r="AN286">
        <f t="shared" si="150"/>
        <v>161.80000000000001</v>
      </c>
      <c r="AO286">
        <f t="shared" si="151"/>
        <v>146.5</v>
      </c>
      <c r="AP286">
        <f t="shared" si="152"/>
        <v>163.80000000000001</v>
      </c>
      <c r="AQ286">
        <f t="shared" si="153"/>
        <v>164.7</v>
      </c>
      <c r="AR286">
        <f t="shared" si="154"/>
        <v>184.8</v>
      </c>
      <c r="AS286">
        <f t="shared" si="155"/>
        <v>154.30000000000001</v>
      </c>
      <c r="AT286">
        <f t="shared" si="156"/>
        <v>144.9</v>
      </c>
      <c r="AU286">
        <f t="shared" si="157"/>
        <v>152.80000000000001</v>
      </c>
      <c r="AV286">
        <f t="shared" si="158"/>
        <v>158</v>
      </c>
      <c r="AW286">
        <f t="shared" si="159"/>
        <v>143.6</v>
      </c>
      <c r="AX286">
        <f t="shared" si="160"/>
        <v>149.19999999999999</v>
      </c>
      <c r="AY286">
        <f t="shared" si="161"/>
        <v>157.19999999999999</v>
      </c>
      <c r="AZ286">
        <f t="shared" si="162"/>
        <v>140.4</v>
      </c>
      <c r="BA286">
        <f t="shared" si="163"/>
        <v>148.4</v>
      </c>
      <c r="BB286">
        <f t="shared" si="164"/>
        <v>158.6</v>
      </c>
      <c r="BC286">
        <f t="shared" si="165"/>
        <v>156.9</v>
      </c>
      <c r="BD286">
        <f t="shared" si="166"/>
        <v>150.69999999999999</v>
      </c>
      <c r="BE286">
        <f t="shared" si="167"/>
        <v>158.4</v>
      </c>
      <c r="BF286">
        <f t="shared" si="168"/>
        <v>2095.6</v>
      </c>
      <c r="BG286">
        <f t="shared" si="169"/>
        <v>452.00000000000006</v>
      </c>
      <c r="BH286">
        <f t="shared" si="170"/>
        <v>314.10000000000002</v>
      </c>
      <c r="BI286">
        <f t="shared" si="171"/>
        <v>465.79999999999995</v>
      </c>
      <c r="BJ286">
        <f t="shared" si="172"/>
        <v>483.90000000000003</v>
      </c>
      <c r="BK286">
        <f t="shared" si="173"/>
        <v>284</v>
      </c>
    </row>
    <row r="287" spans="1:63" x14ac:dyDescent="0.35">
      <c r="A287" t="s">
        <v>30</v>
      </c>
      <c r="B287">
        <v>2020</v>
      </c>
      <c r="C287" t="s">
        <v>46</v>
      </c>
      <c r="D287">
        <v>144.6</v>
      </c>
      <c r="E287">
        <v>188.5</v>
      </c>
      <c r="F287">
        <v>173.4</v>
      </c>
      <c r="G287">
        <v>154</v>
      </c>
      <c r="H287">
        <v>150</v>
      </c>
      <c r="I287">
        <v>145.9</v>
      </c>
      <c r="J287">
        <v>225.2</v>
      </c>
      <c r="K287">
        <v>159.5</v>
      </c>
      <c r="L287">
        <v>114.4</v>
      </c>
      <c r="M287">
        <v>163.5</v>
      </c>
      <c r="N287">
        <v>153.4</v>
      </c>
      <c r="O287">
        <v>163.6</v>
      </c>
      <c r="P287">
        <v>164.5</v>
      </c>
      <c r="Q287">
        <v>183.6</v>
      </c>
      <c r="R287">
        <v>157</v>
      </c>
      <c r="S287">
        <v>151.6</v>
      </c>
      <c r="T287">
        <v>156.30000000000001</v>
      </c>
      <c r="U287" t="s">
        <v>32</v>
      </c>
      <c r="V287">
        <v>148.69999999999999</v>
      </c>
      <c r="W287">
        <v>153.4</v>
      </c>
      <c r="X287">
        <v>161.6</v>
      </c>
      <c r="Y287">
        <v>146.4</v>
      </c>
      <c r="Z287">
        <v>153.9</v>
      </c>
      <c r="AA287">
        <v>162.9</v>
      </c>
      <c r="AB287">
        <v>156.6</v>
      </c>
      <c r="AC287">
        <v>155.19999999999999</v>
      </c>
      <c r="AD287">
        <v>160.69999999999999</v>
      </c>
      <c r="AE287">
        <f t="shared" si="141"/>
        <v>144.6</v>
      </c>
      <c r="AF287">
        <f t="shared" si="142"/>
        <v>188.5</v>
      </c>
      <c r="AG287">
        <f t="shared" si="143"/>
        <v>173.4</v>
      </c>
      <c r="AH287">
        <f t="shared" si="144"/>
        <v>154</v>
      </c>
      <c r="AI287">
        <f t="shared" si="145"/>
        <v>150</v>
      </c>
      <c r="AJ287">
        <f t="shared" si="146"/>
        <v>145.9</v>
      </c>
      <c r="AK287">
        <f t="shared" si="147"/>
        <v>225.2</v>
      </c>
      <c r="AL287">
        <f t="shared" si="148"/>
        <v>159.5</v>
      </c>
      <c r="AM287">
        <f t="shared" si="149"/>
        <v>114.4</v>
      </c>
      <c r="AN287">
        <f t="shared" si="150"/>
        <v>163.5</v>
      </c>
      <c r="AO287">
        <f t="shared" si="151"/>
        <v>153.4</v>
      </c>
      <c r="AP287">
        <f t="shared" si="152"/>
        <v>163.6</v>
      </c>
      <c r="AQ287">
        <f t="shared" si="153"/>
        <v>164.5</v>
      </c>
      <c r="AR287">
        <f t="shared" si="154"/>
        <v>183.6</v>
      </c>
      <c r="AS287">
        <f t="shared" si="155"/>
        <v>157</v>
      </c>
      <c r="AT287">
        <f t="shared" si="156"/>
        <v>151.6</v>
      </c>
      <c r="AU287">
        <f t="shared" si="157"/>
        <v>156.30000000000001</v>
      </c>
      <c r="AV287">
        <f t="shared" si="158"/>
        <v>158.4</v>
      </c>
      <c r="AW287">
        <f t="shared" si="159"/>
        <v>148.69999999999999</v>
      </c>
      <c r="AX287">
        <f t="shared" si="160"/>
        <v>153.4</v>
      </c>
      <c r="AY287">
        <f t="shared" si="161"/>
        <v>161.6</v>
      </c>
      <c r="AZ287">
        <f t="shared" si="162"/>
        <v>146.4</v>
      </c>
      <c r="BA287">
        <f t="shared" si="163"/>
        <v>153.9</v>
      </c>
      <c r="BB287">
        <f t="shared" si="164"/>
        <v>162.9</v>
      </c>
      <c r="BC287">
        <f t="shared" si="165"/>
        <v>156.6</v>
      </c>
      <c r="BD287">
        <f t="shared" si="166"/>
        <v>155.19999999999999</v>
      </c>
      <c r="BE287">
        <f t="shared" si="167"/>
        <v>160.69999999999999</v>
      </c>
      <c r="BF287">
        <f t="shared" si="168"/>
        <v>2100.5</v>
      </c>
      <c r="BG287">
        <f t="shared" si="169"/>
        <v>464.90000000000003</v>
      </c>
      <c r="BH287">
        <f t="shared" si="170"/>
        <v>318.2</v>
      </c>
      <c r="BI287">
        <f t="shared" si="171"/>
        <v>474.70000000000005</v>
      </c>
      <c r="BJ287">
        <f t="shared" si="172"/>
        <v>492.7</v>
      </c>
      <c r="BK287">
        <f t="shared" si="173"/>
        <v>295.10000000000002</v>
      </c>
    </row>
    <row r="288" spans="1:63" x14ac:dyDescent="0.35">
      <c r="A288" t="s">
        <v>33</v>
      </c>
      <c r="B288">
        <v>2020</v>
      </c>
      <c r="C288" t="s">
        <v>46</v>
      </c>
      <c r="D288">
        <v>149</v>
      </c>
      <c r="E288">
        <v>195.7</v>
      </c>
      <c r="F288">
        <v>178.3</v>
      </c>
      <c r="G288">
        <v>154.19999999999999</v>
      </c>
      <c r="H288">
        <v>140.69999999999999</v>
      </c>
      <c r="I288">
        <v>149.69999999999999</v>
      </c>
      <c r="J288">
        <v>240.9</v>
      </c>
      <c r="K288">
        <v>161.5</v>
      </c>
      <c r="L288">
        <v>117.1</v>
      </c>
      <c r="M288">
        <v>161.9</v>
      </c>
      <c r="N288">
        <v>143.30000000000001</v>
      </c>
      <c r="O288">
        <v>166.1</v>
      </c>
      <c r="P288">
        <v>167</v>
      </c>
      <c r="Q288">
        <v>190.2</v>
      </c>
      <c r="R288">
        <v>151.9</v>
      </c>
      <c r="S288">
        <v>136.69999999999999</v>
      </c>
      <c r="T288">
        <v>149.6</v>
      </c>
      <c r="U288">
        <v>158.4</v>
      </c>
      <c r="V288">
        <v>137.9</v>
      </c>
      <c r="W288">
        <v>145.5</v>
      </c>
      <c r="X288">
        <v>152.9</v>
      </c>
      <c r="Y288">
        <v>135.5</v>
      </c>
      <c r="Z288">
        <v>144.30000000000001</v>
      </c>
      <c r="AA288">
        <v>156.9</v>
      </c>
      <c r="AB288">
        <v>157.9</v>
      </c>
      <c r="AC288">
        <v>146.9</v>
      </c>
      <c r="AD288">
        <v>156.9</v>
      </c>
      <c r="AE288">
        <f t="shared" si="141"/>
        <v>149</v>
      </c>
      <c r="AF288">
        <f t="shared" si="142"/>
        <v>195.7</v>
      </c>
      <c r="AG288">
        <f t="shared" si="143"/>
        <v>178.3</v>
      </c>
      <c r="AH288">
        <f t="shared" si="144"/>
        <v>154.19999999999999</v>
      </c>
      <c r="AI288">
        <f t="shared" si="145"/>
        <v>140.69999999999999</v>
      </c>
      <c r="AJ288">
        <f t="shared" si="146"/>
        <v>149.69999999999999</v>
      </c>
      <c r="AK288">
        <f t="shared" si="147"/>
        <v>240.9</v>
      </c>
      <c r="AL288">
        <f t="shared" si="148"/>
        <v>161.5</v>
      </c>
      <c r="AM288">
        <f t="shared" si="149"/>
        <v>117.1</v>
      </c>
      <c r="AN288">
        <f t="shared" si="150"/>
        <v>161.9</v>
      </c>
      <c r="AO288">
        <f t="shared" si="151"/>
        <v>143.30000000000001</v>
      </c>
      <c r="AP288">
        <f t="shared" si="152"/>
        <v>166.1</v>
      </c>
      <c r="AQ288">
        <f t="shared" si="153"/>
        <v>167</v>
      </c>
      <c r="AR288">
        <f t="shared" si="154"/>
        <v>190.2</v>
      </c>
      <c r="AS288">
        <f t="shared" si="155"/>
        <v>151.9</v>
      </c>
      <c r="AT288">
        <f t="shared" si="156"/>
        <v>136.69999999999999</v>
      </c>
      <c r="AU288">
        <f t="shared" si="157"/>
        <v>149.6</v>
      </c>
      <c r="AV288">
        <f t="shared" si="158"/>
        <v>158.4</v>
      </c>
      <c r="AW288">
        <f t="shared" si="159"/>
        <v>137.9</v>
      </c>
      <c r="AX288">
        <f t="shared" si="160"/>
        <v>145.5</v>
      </c>
      <c r="AY288">
        <f t="shared" si="161"/>
        <v>152.9</v>
      </c>
      <c r="AZ288">
        <f t="shared" si="162"/>
        <v>135.5</v>
      </c>
      <c r="BA288">
        <f t="shared" si="163"/>
        <v>144.30000000000001</v>
      </c>
      <c r="BB288">
        <f t="shared" si="164"/>
        <v>156.9</v>
      </c>
      <c r="BC288">
        <f t="shared" si="165"/>
        <v>157.9</v>
      </c>
      <c r="BD288">
        <f t="shared" si="166"/>
        <v>146.9</v>
      </c>
      <c r="BE288">
        <f t="shared" si="167"/>
        <v>156.9</v>
      </c>
      <c r="BF288">
        <f t="shared" si="168"/>
        <v>2125.4</v>
      </c>
      <c r="BG288">
        <f t="shared" si="169"/>
        <v>438.20000000000005</v>
      </c>
      <c r="BH288">
        <f t="shared" si="170"/>
        <v>310.8</v>
      </c>
      <c r="BI288">
        <f t="shared" si="171"/>
        <v>460.79999999999995</v>
      </c>
      <c r="BJ288">
        <f t="shared" si="172"/>
        <v>481.4</v>
      </c>
      <c r="BK288">
        <f t="shared" si="173"/>
        <v>273.39999999999998</v>
      </c>
    </row>
    <row r="289" spans="1:63" x14ac:dyDescent="0.35">
      <c r="A289" t="s">
        <v>34</v>
      </c>
      <c r="B289">
        <v>2020</v>
      </c>
      <c r="C289" t="s">
        <v>46</v>
      </c>
      <c r="D289">
        <v>146</v>
      </c>
      <c r="E289">
        <v>191</v>
      </c>
      <c r="F289">
        <v>175.3</v>
      </c>
      <c r="G289">
        <v>154.1</v>
      </c>
      <c r="H289">
        <v>146.6</v>
      </c>
      <c r="I289">
        <v>147.69999999999999</v>
      </c>
      <c r="J289">
        <v>230.5</v>
      </c>
      <c r="K289">
        <v>160.19999999999999</v>
      </c>
      <c r="L289">
        <v>115.3</v>
      </c>
      <c r="M289">
        <v>163</v>
      </c>
      <c r="N289">
        <v>149.19999999999999</v>
      </c>
      <c r="O289">
        <v>164.8</v>
      </c>
      <c r="P289">
        <v>165.4</v>
      </c>
      <c r="Q289">
        <v>185.4</v>
      </c>
      <c r="R289">
        <v>155</v>
      </c>
      <c r="S289">
        <v>145.4</v>
      </c>
      <c r="T289">
        <v>153.6</v>
      </c>
      <c r="U289">
        <v>158.4</v>
      </c>
      <c r="V289">
        <v>144.6</v>
      </c>
      <c r="W289">
        <v>149.69999999999999</v>
      </c>
      <c r="X289">
        <v>158.30000000000001</v>
      </c>
      <c r="Y289">
        <v>140.69999999999999</v>
      </c>
      <c r="Z289">
        <v>148.5</v>
      </c>
      <c r="AA289">
        <v>159.4</v>
      </c>
      <c r="AB289">
        <v>157.1</v>
      </c>
      <c r="AC289">
        <v>151.19999999999999</v>
      </c>
      <c r="AD289">
        <v>158.9</v>
      </c>
      <c r="AE289">
        <f t="shared" si="141"/>
        <v>146</v>
      </c>
      <c r="AF289">
        <f t="shared" si="142"/>
        <v>191</v>
      </c>
      <c r="AG289">
        <f t="shared" si="143"/>
        <v>175.3</v>
      </c>
      <c r="AH289">
        <f t="shared" si="144"/>
        <v>154.1</v>
      </c>
      <c r="AI289">
        <f t="shared" si="145"/>
        <v>146.6</v>
      </c>
      <c r="AJ289">
        <f t="shared" si="146"/>
        <v>147.69999999999999</v>
      </c>
      <c r="AK289">
        <f t="shared" si="147"/>
        <v>230.5</v>
      </c>
      <c r="AL289">
        <f t="shared" si="148"/>
        <v>160.19999999999999</v>
      </c>
      <c r="AM289">
        <f t="shared" si="149"/>
        <v>115.3</v>
      </c>
      <c r="AN289">
        <f t="shared" si="150"/>
        <v>163</v>
      </c>
      <c r="AO289">
        <f t="shared" si="151"/>
        <v>149.19999999999999</v>
      </c>
      <c r="AP289">
        <f t="shared" si="152"/>
        <v>164.8</v>
      </c>
      <c r="AQ289">
        <f t="shared" si="153"/>
        <v>165.4</v>
      </c>
      <c r="AR289">
        <f t="shared" si="154"/>
        <v>185.4</v>
      </c>
      <c r="AS289">
        <f t="shared" si="155"/>
        <v>155</v>
      </c>
      <c r="AT289">
        <f t="shared" si="156"/>
        <v>145.4</v>
      </c>
      <c r="AU289">
        <f t="shared" si="157"/>
        <v>153.6</v>
      </c>
      <c r="AV289">
        <f t="shared" si="158"/>
        <v>158.4</v>
      </c>
      <c r="AW289">
        <f t="shared" si="159"/>
        <v>144.6</v>
      </c>
      <c r="AX289">
        <f t="shared" si="160"/>
        <v>149.69999999999999</v>
      </c>
      <c r="AY289">
        <f t="shared" si="161"/>
        <v>158.30000000000001</v>
      </c>
      <c r="AZ289">
        <f t="shared" si="162"/>
        <v>140.69999999999999</v>
      </c>
      <c r="BA289">
        <f t="shared" si="163"/>
        <v>148.5</v>
      </c>
      <c r="BB289">
        <f t="shared" si="164"/>
        <v>159.4</v>
      </c>
      <c r="BC289">
        <f t="shared" si="165"/>
        <v>157.1</v>
      </c>
      <c r="BD289">
        <f t="shared" si="166"/>
        <v>151.19999999999999</v>
      </c>
      <c r="BE289">
        <f t="shared" si="167"/>
        <v>158.9</v>
      </c>
      <c r="BF289">
        <f t="shared" si="168"/>
        <v>2109.1</v>
      </c>
      <c r="BG289">
        <f t="shared" si="169"/>
        <v>454</v>
      </c>
      <c r="BH289">
        <f t="shared" si="170"/>
        <v>315.39999999999998</v>
      </c>
      <c r="BI289">
        <f t="shared" si="171"/>
        <v>467.5</v>
      </c>
      <c r="BJ289">
        <f t="shared" si="172"/>
        <v>485.09999999999997</v>
      </c>
      <c r="BK289">
        <f t="shared" si="173"/>
        <v>285.29999999999995</v>
      </c>
    </row>
    <row r="290" spans="1:63" x14ac:dyDescent="0.35">
      <c r="A290" t="s">
        <v>30</v>
      </c>
      <c r="B290">
        <v>2021</v>
      </c>
      <c r="C290" t="s">
        <v>31</v>
      </c>
      <c r="D290">
        <v>143.4</v>
      </c>
      <c r="E290">
        <v>187.5</v>
      </c>
      <c r="F290">
        <v>173.4</v>
      </c>
      <c r="G290">
        <v>154</v>
      </c>
      <c r="H290">
        <v>154.80000000000001</v>
      </c>
      <c r="I290">
        <v>147</v>
      </c>
      <c r="J290">
        <v>187.8</v>
      </c>
      <c r="K290">
        <v>159.5</v>
      </c>
      <c r="L290">
        <v>113.8</v>
      </c>
      <c r="M290">
        <v>164.5</v>
      </c>
      <c r="N290">
        <v>156.1</v>
      </c>
      <c r="O290">
        <v>164.3</v>
      </c>
      <c r="P290">
        <v>159.6</v>
      </c>
      <c r="Q290">
        <v>184.6</v>
      </c>
      <c r="R290">
        <v>157.5</v>
      </c>
      <c r="S290">
        <v>152.4</v>
      </c>
      <c r="T290">
        <v>156.80000000000001</v>
      </c>
      <c r="U290" t="s">
        <v>32</v>
      </c>
      <c r="V290">
        <v>150.9</v>
      </c>
      <c r="W290">
        <v>153.9</v>
      </c>
      <c r="X290">
        <v>162.5</v>
      </c>
      <c r="Y290">
        <v>147.5</v>
      </c>
      <c r="Z290">
        <v>155.1</v>
      </c>
      <c r="AA290">
        <v>163.5</v>
      </c>
      <c r="AB290">
        <v>156.19999999999999</v>
      </c>
      <c r="AC290">
        <v>155.9</v>
      </c>
      <c r="AD290">
        <v>158.5</v>
      </c>
      <c r="AE290">
        <f t="shared" si="141"/>
        <v>143.4</v>
      </c>
      <c r="AF290">
        <f t="shared" si="142"/>
        <v>187.5</v>
      </c>
      <c r="AG290">
        <f t="shared" si="143"/>
        <v>173.4</v>
      </c>
      <c r="AH290">
        <f t="shared" si="144"/>
        <v>154</v>
      </c>
      <c r="AI290">
        <f t="shared" si="145"/>
        <v>154.80000000000001</v>
      </c>
      <c r="AJ290">
        <f t="shared" si="146"/>
        <v>147</v>
      </c>
      <c r="AK290">
        <f t="shared" si="147"/>
        <v>187.8</v>
      </c>
      <c r="AL290">
        <f t="shared" si="148"/>
        <v>159.5</v>
      </c>
      <c r="AM290">
        <f t="shared" si="149"/>
        <v>113.8</v>
      </c>
      <c r="AN290">
        <f t="shared" si="150"/>
        <v>164.5</v>
      </c>
      <c r="AO290">
        <f t="shared" si="151"/>
        <v>156.1</v>
      </c>
      <c r="AP290">
        <f t="shared" si="152"/>
        <v>164.3</v>
      </c>
      <c r="AQ290">
        <f t="shared" si="153"/>
        <v>159.6</v>
      </c>
      <c r="AR290">
        <f t="shared" si="154"/>
        <v>184.6</v>
      </c>
      <c r="AS290">
        <f t="shared" si="155"/>
        <v>157.5</v>
      </c>
      <c r="AT290">
        <f t="shared" si="156"/>
        <v>152.4</v>
      </c>
      <c r="AU290">
        <f t="shared" si="157"/>
        <v>156.80000000000001</v>
      </c>
      <c r="AV290">
        <f t="shared" si="158"/>
        <v>157.69999999999999</v>
      </c>
      <c r="AW290">
        <f t="shared" si="159"/>
        <v>150.9</v>
      </c>
      <c r="AX290">
        <f t="shared" si="160"/>
        <v>153.9</v>
      </c>
      <c r="AY290">
        <f t="shared" si="161"/>
        <v>162.5</v>
      </c>
      <c r="AZ290">
        <f t="shared" si="162"/>
        <v>147.5</v>
      </c>
      <c r="BA290">
        <f t="shared" si="163"/>
        <v>155.1</v>
      </c>
      <c r="BB290">
        <f t="shared" si="164"/>
        <v>163.5</v>
      </c>
      <c r="BC290">
        <f t="shared" si="165"/>
        <v>156.19999999999999</v>
      </c>
      <c r="BD290">
        <f t="shared" si="166"/>
        <v>155.9</v>
      </c>
      <c r="BE290">
        <f t="shared" si="167"/>
        <v>158.5</v>
      </c>
      <c r="BF290">
        <f t="shared" si="168"/>
        <v>2065.6999999999998</v>
      </c>
      <c r="BG290">
        <f t="shared" si="169"/>
        <v>466.7</v>
      </c>
      <c r="BH290">
        <f t="shared" si="170"/>
        <v>318.7</v>
      </c>
      <c r="BI290">
        <f t="shared" si="171"/>
        <v>475.09999999999997</v>
      </c>
      <c r="BJ290">
        <f t="shared" si="172"/>
        <v>495.6</v>
      </c>
      <c r="BK290">
        <f t="shared" si="173"/>
        <v>298.39999999999998</v>
      </c>
    </row>
    <row r="291" spans="1:63" x14ac:dyDescent="0.35">
      <c r="A291" t="s">
        <v>33</v>
      </c>
      <c r="B291">
        <v>2021</v>
      </c>
      <c r="C291" t="s">
        <v>31</v>
      </c>
      <c r="D291">
        <v>148</v>
      </c>
      <c r="E291">
        <v>194.8</v>
      </c>
      <c r="F291">
        <v>178.4</v>
      </c>
      <c r="G291">
        <v>154.4</v>
      </c>
      <c r="H291">
        <v>144.1</v>
      </c>
      <c r="I291">
        <v>152.6</v>
      </c>
      <c r="J291">
        <v>206.8</v>
      </c>
      <c r="K291">
        <v>162.1</v>
      </c>
      <c r="L291">
        <v>116.3</v>
      </c>
      <c r="M291">
        <v>163</v>
      </c>
      <c r="N291">
        <v>145.9</v>
      </c>
      <c r="O291">
        <v>167.2</v>
      </c>
      <c r="P291">
        <v>163.4</v>
      </c>
      <c r="Q291">
        <v>191.8</v>
      </c>
      <c r="R291">
        <v>152.5</v>
      </c>
      <c r="S291">
        <v>137.30000000000001</v>
      </c>
      <c r="T291">
        <v>150.19999999999999</v>
      </c>
      <c r="U291">
        <v>157.69999999999999</v>
      </c>
      <c r="V291">
        <v>142.9</v>
      </c>
      <c r="W291">
        <v>145.69999999999999</v>
      </c>
      <c r="X291">
        <v>154.1</v>
      </c>
      <c r="Y291">
        <v>136.9</v>
      </c>
      <c r="Z291">
        <v>145.4</v>
      </c>
      <c r="AA291">
        <v>156.1</v>
      </c>
      <c r="AB291">
        <v>157.69999999999999</v>
      </c>
      <c r="AC291">
        <v>147.6</v>
      </c>
      <c r="AD291">
        <v>156</v>
      </c>
      <c r="AE291">
        <f t="shared" si="141"/>
        <v>148</v>
      </c>
      <c r="AF291">
        <f t="shared" si="142"/>
        <v>194.8</v>
      </c>
      <c r="AG291">
        <f t="shared" si="143"/>
        <v>178.4</v>
      </c>
      <c r="AH291">
        <f t="shared" si="144"/>
        <v>154.4</v>
      </c>
      <c r="AI291">
        <f t="shared" si="145"/>
        <v>144.1</v>
      </c>
      <c r="AJ291">
        <f t="shared" si="146"/>
        <v>152.6</v>
      </c>
      <c r="AK291">
        <f t="shared" si="147"/>
        <v>206.8</v>
      </c>
      <c r="AL291">
        <f t="shared" si="148"/>
        <v>162.1</v>
      </c>
      <c r="AM291">
        <f t="shared" si="149"/>
        <v>116.3</v>
      </c>
      <c r="AN291">
        <f t="shared" si="150"/>
        <v>163</v>
      </c>
      <c r="AO291">
        <f t="shared" si="151"/>
        <v>145.9</v>
      </c>
      <c r="AP291">
        <f t="shared" si="152"/>
        <v>167.2</v>
      </c>
      <c r="AQ291">
        <f t="shared" si="153"/>
        <v>163.4</v>
      </c>
      <c r="AR291">
        <f t="shared" si="154"/>
        <v>191.8</v>
      </c>
      <c r="AS291">
        <f t="shared" si="155"/>
        <v>152.5</v>
      </c>
      <c r="AT291">
        <f t="shared" si="156"/>
        <v>137.30000000000001</v>
      </c>
      <c r="AU291">
        <f t="shared" si="157"/>
        <v>150.19999999999999</v>
      </c>
      <c r="AV291">
        <f t="shared" si="158"/>
        <v>157.69999999999999</v>
      </c>
      <c r="AW291">
        <f t="shared" si="159"/>
        <v>142.9</v>
      </c>
      <c r="AX291">
        <f t="shared" si="160"/>
        <v>145.69999999999999</v>
      </c>
      <c r="AY291">
        <f t="shared" si="161"/>
        <v>154.1</v>
      </c>
      <c r="AZ291">
        <f t="shared" si="162"/>
        <v>136.9</v>
      </c>
      <c r="BA291">
        <f t="shared" si="163"/>
        <v>145.4</v>
      </c>
      <c r="BB291">
        <f t="shared" si="164"/>
        <v>156.1</v>
      </c>
      <c r="BC291">
        <f t="shared" si="165"/>
        <v>157.69999999999999</v>
      </c>
      <c r="BD291">
        <f t="shared" si="166"/>
        <v>147.6</v>
      </c>
      <c r="BE291">
        <f t="shared" si="167"/>
        <v>156</v>
      </c>
      <c r="BF291">
        <f t="shared" si="168"/>
        <v>2097</v>
      </c>
      <c r="BG291">
        <f t="shared" si="169"/>
        <v>440</v>
      </c>
      <c r="BH291">
        <f t="shared" si="170"/>
        <v>311.79999999999995</v>
      </c>
      <c r="BI291">
        <f t="shared" si="171"/>
        <v>459.49999999999994</v>
      </c>
      <c r="BJ291">
        <f t="shared" si="172"/>
        <v>484.80000000000007</v>
      </c>
      <c r="BK291">
        <f t="shared" si="173"/>
        <v>279.8</v>
      </c>
    </row>
    <row r="292" spans="1:63" x14ac:dyDescent="0.35">
      <c r="A292" t="s">
        <v>34</v>
      </c>
      <c r="B292">
        <v>2021</v>
      </c>
      <c r="C292" t="s">
        <v>31</v>
      </c>
      <c r="D292">
        <v>144.9</v>
      </c>
      <c r="E292">
        <v>190.1</v>
      </c>
      <c r="F292">
        <v>175.3</v>
      </c>
      <c r="G292">
        <v>154.1</v>
      </c>
      <c r="H292">
        <v>150.9</v>
      </c>
      <c r="I292">
        <v>149.6</v>
      </c>
      <c r="J292">
        <v>194.2</v>
      </c>
      <c r="K292">
        <v>160.4</v>
      </c>
      <c r="L292">
        <v>114.6</v>
      </c>
      <c r="M292">
        <v>164</v>
      </c>
      <c r="N292">
        <v>151.80000000000001</v>
      </c>
      <c r="O292">
        <v>165.6</v>
      </c>
      <c r="P292">
        <v>161</v>
      </c>
      <c r="Q292">
        <v>186.5</v>
      </c>
      <c r="R292">
        <v>155.5</v>
      </c>
      <c r="S292">
        <v>146.1</v>
      </c>
      <c r="T292">
        <v>154.19999999999999</v>
      </c>
      <c r="U292">
        <v>157.69999999999999</v>
      </c>
      <c r="V292">
        <v>147.9</v>
      </c>
      <c r="W292">
        <v>150</v>
      </c>
      <c r="X292">
        <v>159.30000000000001</v>
      </c>
      <c r="Y292">
        <v>141.9</v>
      </c>
      <c r="Z292">
        <v>149.6</v>
      </c>
      <c r="AA292">
        <v>159.19999999999999</v>
      </c>
      <c r="AB292">
        <v>156.80000000000001</v>
      </c>
      <c r="AC292">
        <v>151.9</v>
      </c>
      <c r="AD292">
        <v>157.30000000000001</v>
      </c>
      <c r="AE292">
        <f t="shared" si="141"/>
        <v>144.9</v>
      </c>
      <c r="AF292">
        <f t="shared" si="142"/>
        <v>190.1</v>
      </c>
      <c r="AG292">
        <f t="shared" si="143"/>
        <v>175.3</v>
      </c>
      <c r="AH292">
        <f t="shared" si="144"/>
        <v>154.1</v>
      </c>
      <c r="AI292">
        <f t="shared" si="145"/>
        <v>150.9</v>
      </c>
      <c r="AJ292">
        <f t="shared" si="146"/>
        <v>149.6</v>
      </c>
      <c r="AK292">
        <f t="shared" si="147"/>
        <v>194.2</v>
      </c>
      <c r="AL292">
        <f t="shared" si="148"/>
        <v>160.4</v>
      </c>
      <c r="AM292">
        <f t="shared" si="149"/>
        <v>114.6</v>
      </c>
      <c r="AN292">
        <f t="shared" si="150"/>
        <v>164</v>
      </c>
      <c r="AO292">
        <f t="shared" si="151"/>
        <v>151.80000000000001</v>
      </c>
      <c r="AP292">
        <f t="shared" si="152"/>
        <v>165.6</v>
      </c>
      <c r="AQ292">
        <f t="shared" si="153"/>
        <v>161</v>
      </c>
      <c r="AR292">
        <f t="shared" si="154"/>
        <v>186.5</v>
      </c>
      <c r="AS292">
        <f t="shared" si="155"/>
        <v>155.5</v>
      </c>
      <c r="AT292">
        <f t="shared" si="156"/>
        <v>146.1</v>
      </c>
      <c r="AU292">
        <f t="shared" si="157"/>
        <v>154.19999999999999</v>
      </c>
      <c r="AV292">
        <f t="shared" si="158"/>
        <v>157.69999999999999</v>
      </c>
      <c r="AW292">
        <f t="shared" si="159"/>
        <v>147.9</v>
      </c>
      <c r="AX292">
        <f t="shared" si="160"/>
        <v>150</v>
      </c>
      <c r="AY292">
        <f t="shared" si="161"/>
        <v>159.30000000000001</v>
      </c>
      <c r="AZ292">
        <f t="shared" si="162"/>
        <v>141.9</v>
      </c>
      <c r="BA292">
        <f t="shared" si="163"/>
        <v>149.6</v>
      </c>
      <c r="BB292">
        <f t="shared" si="164"/>
        <v>159.19999999999999</v>
      </c>
      <c r="BC292">
        <f t="shared" si="165"/>
        <v>156.80000000000001</v>
      </c>
      <c r="BD292">
        <f t="shared" si="166"/>
        <v>151.9</v>
      </c>
      <c r="BE292">
        <f t="shared" si="167"/>
        <v>157.30000000000001</v>
      </c>
      <c r="BF292">
        <f t="shared" si="168"/>
        <v>2076.5</v>
      </c>
      <c r="BG292">
        <f t="shared" si="169"/>
        <v>455.8</v>
      </c>
      <c r="BH292">
        <f t="shared" si="170"/>
        <v>316.10000000000002</v>
      </c>
      <c r="BI292">
        <f t="shared" si="171"/>
        <v>466.9</v>
      </c>
      <c r="BJ292">
        <f t="shared" si="172"/>
        <v>488</v>
      </c>
      <c r="BK292">
        <f t="shared" si="173"/>
        <v>289.8</v>
      </c>
    </row>
    <row r="293" spans="1:63" x14ac:dyDescent="0.35">
      <c r="A293" t="s">
        <v>30</v>
      </c>
      <c r="B293">
        <v>2021</v>
      </c>
      <c r="C293" t="s">
        <v>35</v>
      </c>
      <c r="D293">
        <v>142.80000000000001</v>
      </c>
      <c r="E293">
        <v>184</v>
      </c>
      <c r="F293">
        <v>168</v>
      </c>
      <c r="G293">
        <v>154.4</v>
      </c>
      <c r="H293">
        <v>163</v>
      </c>
      <c r="I293">
        <v>147.80000000000001</v>
      </c>
      <c r="J293">
        <v>149.69999999999999</v>
      </c>
      <c r="K293">
        <v>158.30000000000001</v>
      </c>
      <c r="L293">
        <v>111.8</v>
      </c>
      <c r="M293">
        <v>165</v>
      </c>
      <c r="N293">
        <v>160</v>
      </c>
      <c r="O293">
        <v>165.8</v>
      </c>
      <c r="P293">
        <v>154.69999999999999</v>
      </c>
      <c r="Q293">
        <v>186.5</v>
      </c>
      <c r="R293">
        <v>159.1</v>
      </c>
      <c r="S293">
        <v>153.9</v>
      </c>
      <c r="T293">
        <v>158.4</v>
      </c>
      <c r="U293" t="s">
        <v>32</v>
      </c>
      <c r="V293">
        <v>154.4</v>
      </c>
      <c r="W293">
        <v>154.80000000000001</v>
      </c>
      <c r="X293">
        <v>164.3</v>
      </c>
      <c r="Y293">
        <v>150.19999999999999</v>
      </c>
      <c r="Z293">
        <v>157</v>
      </c>
      <c r="AA293">
        <v>163.6</v>
      </c>
      <c r="AB293">
        <v>155.19999999999999</v>
      </c>
      <c r="AC293">
        <v>157.19999999999999</v>
      </c>
      <c r="AD293">
        <v>156.69999999999999</v>
      </c>
      <c r="AE293">
        <f t="shared" si="141"/>
        <v>142.80000000000001</v>
      </c>
      <c r="AF293">
        <f t="shared" si="142"/>
        <v>184</v>
      </c>
      <c r="AG293">
        <f t="shared" si="143"/>
        <v>168</v>
      </c>
      <c r="AH293">
        <f t="shared" si="144"/>
        <v>154.4</v>
      </c>
      <c r="AI293">
        <f t="shared" si="145"/>
        <v>163</v>
      </c>
      <c r="AJ293">
        <f t="shared" si="146"/>
        <v>147.80000000000001</v>
      </c>
      <c r="AK293">
        <f t="shared" si="147"/>
        <v>149.69999999999999</v>
      </c>
      <c r="AL293">
        <f t="shared" si="148"/>
        <v>158.30000000000001</v>
      </c>
      <c r="AM293">
        <f t="shared" si="149"/>
        <v>111.8</v>
      </c>
      <c r="AN293">
        <f t="shared" si="150"/>
        <v>165</v>
      </c>
      <c r="AO293">
        <f t="shared" si="151"/>
        <v>160</v>
      </c>
      <c r="AP293">
        <f t="shared" si="152"/>
        <v>165.8</v>
      </c>
      <c r="AQ293">
        <f t="shared" si="153"/>
        <v>154.69999999999999</v>
      </c>
      <c r="AR293">
        <f t="shared" si="154"/>
        <v>186.5</v>
      </c>
      <c r="AS293">
        <f t="shared" si="155"/>
        <v>159.1</v>
      </c>
      <c r="AT293">
        <f t="shared" si="156"/>
        <v>153.9</v>
      </c>
      <c r="AU293">
        <f t="shared" si="157"/>
        <v>158.4</v>
      </c>
      <c r="AV293">
        <f t="shared" si="158"/>
        <v>159.80000000000001</v>
      </c>
      <c r="AW293">
        <f t="shared" si="159"/>
        <v>154.4</v>
      </c>
      <c r="AX293">
        <f t="shared" si="160"/>
        <v>154.80000000000001</v>
      </c>
      <c r="AY293">
        <f t="shared" si="161"/>
        <v>164.3</v>
      </c>
      <c r="AZ293">
        <f t="shared" si="162"/>
        <v>150.19999999999999</v>
      </c>
      <c r="BA293">
        <f t="shared" si="163"/>
        <v>157</v>
      </c>
      <c r="BB293">
        <f t="shared" si="164"/>
        <v>163.6</v>
      </c>
      <c r="BC293">
        <f t="shared" si="165"/>
        <v>155.19999999999999</v>
      </c>
      <c r="BD293">
        <f t="shared" si="166"/>
        <v>157.19999999999999</v>
      </c>
      <c r="BE293">
        <f t="shared" si="167"/>
        <v>156.69999999999999</v>
      </c>
      <c r="BF293">
        <f t="shared" si="168"/>
        <v>2025.3</v>
      </c>
      <c r="BG293">
        <f t="shared" si="169"/>
        <v>471.4</v>
      </c>
      <c r="BH293">
        <f t="shared" si="170"/>
        <v>319.5</v>
      </c>
      <c r="BI293">
        <f t="shared" si="171"/>
        <v>478.2</v>
      </c>
      <c r="BJ293">
        <f t="shared" si="172"/>
        <v>500.7</v>
      </c>
      <c r="BK293">
        <f t="shared" si="173"/>
        <v>304.60000000000002</v>
      </c>
    </row>
    <row r="294" spans="1:63" x14ac:dyDescent="0.35">
      <c r="A294" t="s">
        <v>33</v>
      </c>
      <c r="B294">
        <v>2021</v>
      </c>
      <c r="C294" t="s">
        <v>35</v>
      </c>
      <c r="D294">
        <v>147.6</v>
      </c>
      <c r="E294">
        <v>191.2</v>
      </c>
      <c r="F294">
        <v>169.9</v>
      </c>
      <c r="G294">
        <v>155.1</v>
      </c>
      <c r="H294">
        <v>151.4</v>
      </c>
      <c r="I294">
        <v>154</v>
      </c>
      <c r="J294">
        <v>180.2</v>
      </c>
      <c r="K294">
        <v>159.80000000000001</v>
      </c>
      <c r="L294">
        <v>114.9</v>
      </c>
      <c r="M294">
        <v>162.5</v>
      </c>
      <c r="N294">
        <v>149.19999999999999</v>
      </c>
      <c r="O294">
        <v>169.4</v>
      </c>
      <c r="P294">
        <v>160.80000000000001</v>
      </c>
      <c r="Q294">
        <v>193.3</v>
      </c>
      <c r="R294">
        <v>154.19999999999999</v>
      </c>
      <c r="S294">
        <v>138.19999999999999</v>
      </c>
      <c r="T294">
        <v>151.80000000000001</v>
      </c>
      <c r="U294">
        <v>159.80000000000001</v>
      </c>
      <c r="V294">
        <v>149.1</v>
      </c>
      <c r="W294">
        <v>146.5</v>
      </c>
      <c r="X294">
        <v>156.30000000000001</v>
      </c>
      <c r="Y294">
        <v>140.5</v>
      </c>
      <c r="Z294">
        <v>147.30000000000001</v>
      </c>
      <c r="AA294">
        <v>156.6</v>
      </c>
      <c r="AB294">
        <v>156.69999999999999</v>
      </c>
      <c r="AC294">
        <v>149.30000000000001</v>
      </c>
      <c r="AD294">
        <v>156.5</v>
      </c>
      <c r="AE294">
        <f t="shared" si="141"/>
        <v>147.6</v>
      </c>
      <c r="AF294">
        <f t="shared" si="142"/>
        <v>191.2</v>
      </c>
      <c r="AG294">
        <f t="shared" si="143"/>
        <v>169.9</v>
      </c>
      <c r="AH294">
        <f t="shared" si="144"/>
        <v>155.1</v>
      </c>
      <c r="AI294">
        <f t="shared" si="145"/>
        <v>151.4</v>
      </c>
      <c r="AJ294">
        <f t="shared" si="146"/>
        <v>154</v>
      </c>
      <c r="AK294">
        <f t="shared" si="147"/>
        <v>180.2</v>
      </c>
      <c r="AL294">
        <f t="shared" si="148"/>
        <v>159.80000000000001</v>
      </c>
      <c r="AM294">
        <f t="shared" si="149"/>
        <v>114.9</v>
      </c>
      <c r="AN294">
        <f t="shared" si="150"/>
        <v>162.5</v>
      </c>
      <c r="AO294">
        <f t="shared" si="151"/>
        <v>149.19999999999999</v>
      </c>
      <c r="AP294">
        <f t="shared" si="152"/>
        <v>169.4</v>
      </c>
      <c r="AQ294">
        <f t="shared" si="153"/>
        <v>160.80000000000001</v>
      </c>
      <c r="AR294">
        <f t="shared" si="154"/>
        <v>193.3</v>
      </c>
      <c r="AS294">
        <f t="shared" si="155"/>
        <v>154.19999999999999</v>
      </c>
      <c r="AT294">
        <f t="shared" si="156"/>
        <v>138.19999999999999</v>
      </c>
      <c r="AU294">
        <f t="shared" si="157"/>
        <v>151.80000000000001</v>
      </c>
      <c r="AV294">
        <f t="shared" si="158"/>
        <v>159.80000000000001</v>
      </c>
      <c r="AW294">
        <f t="shared" si="159"/>
        <v>149.1</v>
      </c>
      <c r="AX294">
        <f t="shared" si="160"/>
        <v>146.5</v>
      </c>
      <c r="AY294">
        <f t="shared" si="161"/>
        <v>156.30000000000001</v>
      </c>
      <c r="AZ294">
        <f t="shared" si="162"/>
        <v>140.5</v>
      </c>
      <c r="BA294">
        <f t="shared" si="163"/>
        <v>147.30000000000001</v>
      </c>
      <c r="BB294">
        <f t="shared" si="164"/>
        <v>156.6</v>
      </c>
      <c r="BC294">
        <f t="shared" si="165"/>
        <v>156.69999999999999</v>
      </c>
      <c r="BD294">
        <f t="shared" si="166"/>
        <v>149.30000000000001</v>
      </c>
      <c r="BE294">
        <f t="shared" si="167"/>
        <v>156.5</v>
      </c>
      <c r="BF294">
        <f t="shared" si="168"/>
        <v>2066</v>
      </c>
      <c r="BG294">
        <f t="shared" si="169"/>
        <v>444.2</v>
      </c>
      <c r="BH294">
        <f t="shared" si="170"/>
        <v>313</v>
      </c>
      <c r="BI294">
        <f t="shared" si="171"/>
        <v>462.90000000000003</v>
      </c>
      <c r="BJ294">
        <f t="shared" si="172"/>
        <v>489.90000000000003</v>
      </c>
      <c r="BK294">
        <f t="shared" si="173"/>
        <v>289.60000000000002</v>
      </c>
    </row>
    <row r="295" spans="1:63" x14ac:dyDescent="0.35">
      <c r="A295" t="s">
        <v>34</v>
      </c>
      <c r="B295">
        <v>2021</v>
      </c>
      <c r="C295" t="s">
        <v>35</v>
      </c>
      <c r="D295">
        <v>144.30000000000001</v>
      </c>
      <c r="E295">
        <v>186.5</v>
      </c>
      <c r="F295">
        <v>168.7</v>
      </c>
      <c r="G295">
        <v>154.69999999999999</v>
      </c>
      <c r="H295">
        <v>158.69999999999999</v>
      </c>
      <c r="I295">
        <v>150.69999999999999</v>
      </c>
      <c r="J295">
        <v>160</v>
      </c>
      <c r="K295">
        <v>158.80000000000001</v>
      </c>
      <c r="L295">
        <v>112.8</v>
      </c>
      <c r="M295">
        <v>164.2</v>
      </c>
      <c r="N295">
        <v>155.5</v>
      </c>
      <c r="O295">
        <v>167.5</v>
      </c>
      <c r="P295">
        <v>156.9</v>
      </c>
      <c r="Q295">
        <v>188.3</v>
      </c>
      <c r="R295">
        <v>157.19999999999999</v>
      </c>
      <c r="S295">
        <v>147.4</v>
      </c>
      <c r="T295">
        <v>155.80000000000001</v>
      </c>
      <c r="U295">
        <v>159.80000000000001</v>
      </c>
      <c r="V295">
        <v>152.4</v>
      </c>
      <c r="W295">
        <v>150.9</v>
      </c>
      <c r="X295">
        <v>161.30000000000001</v>
      </c>
      <c r="Y295">
        <v>145.1</v>
      </c>
      <c r="Z295">
        <v>151.5</v>
      </c>
      <c r="AA295">
        <v>159.5</v>
      </c>
      <c r="AB295">
        <v>155.80000000000001</v>
      </c>
      <c r="AC295">
        <v>153.4</v>
      </c>
      <c r="AD295">
        <v>156.6</v>
      </c>
      <c r="AE295">
        <f t="shared" si="141"/>
        <v>144.30000000000001</v>
      </c>
      <c r="AF295">
        <f t="shared" si="142"/>
        <v>186.5</v>
      </c>
      <c r="AG295">
        <f t="shared" si="143"/>
        <v>168.7</v>
      </c>
      <c r="AH295">
        <f t="shared" si="144"/>
        <v>154.69999999999999</v>
      </c>
      <c r="AI295">
        <f t="shared" si="145"/>
        <v>158.69999999999999</v>
      </c>
      <c r="AJ295">
        <f t="shared" si="146"/>
        <v>150.69999999999999</v>
      </c>
      <c r="AK295">
        <f t="shared" si="147"/>
        <v>160</v>
      </c>
      <c r="AL295">
        <f t="shared" si="148"/>
        <v>158.80000000000001</v>
      </c>
      <c r="AM295">
        <f t="shared" si="149"/>
        <v>112.8</v>
      </c>
      <c r="AN295">
        <f t="shared" si="150"/>
        <v>164.2</v>
      </c>
      <c r="AO295">
        <f t="shared" si="151"/>
        <v>155.5</v>
      </c>
      <c r="AP295">
        <f t="shared" si="152"/>
        <v>167.5</v>
      </c>
      <c r="AQ295">
        <f t="shared" si="153"/>
        <v>156.9</v>
      </c>
      <c r="AR295">
        <f t="shared" si="154"/>
        <v>188.3</v>
      </c>
      <c r="AS295">
        <f t="shared" si="155"/>
        <v>157.19999999999999</v>
      </c>
      <c r="AT295">
        <f t="shared" si="156"/>
        <v>147.4</v>
      </c>
      <c r="AU295">
        <f t="shared" si="157"/>
        <v>155.80000000000001</v>
      </c>
      <c r="AV295">
        <f t="shared" si="158"/>
        <v>159.80000000000001</v>
      </c>
      <c r="AW295">
        <f t="shared" si="159"/>
        <v>152.4</v>
      </c>
      <c r="AX295">
        <f t="shared" si="160"/>
        <v>150.9</v>
      </c>
      <c r="AY295">
        <f t="shared" si="161"/>
        <v>161.30000000000001</v>
      </c>
      <c r="AZ295">
        <f t="shared" si="162"/>
        <v>145.1</v>
      </c>
      <c r="BA295">
        <f t="shared" si="163"/>
        <v>151.5</v>
      </c>
      <c r="BB295">
        <f t="shared" si="164"/>
        <v>159.5</v>
      </c>
      <c r="BC295">
        <f t="shared" si="165"/>
        <v>155.80000000000001</v>
      </c>
      <c r="BD295">
        <f t="shared" si="166"/>
        <v>153.4</v>
      </c>
      <c r="BE295">
        <f t="shared" si="167"/>
        <v>156.6</v>
      </c>
      <c r="BF295">
        <f t="shared" si="168"/>
        <v>2039.3000000000002</v>
      </c>
      <c r="BG295">
        <f t="shared" si="169"/>
        <v>460.40000000000003</v>
      </c>
      <c r="BH295">
        <f t="shared" si="170"/>
        <v>317.10000000000002</v>
      </c>
      <c r="BI295">
        <f t="shared" si="171"/>
        <v>470.2</v>
      </c>
      <c r="BJ295">
        <f t="shared" si="172"/>
        <v>493.20000000000005</v>
      </c>
      <c r="BK295">
        <f t="shared" si="173"/>
        <v>297.5</v>
      </c>
    </row>
    <row r="296" spans="1:63" x14ac:dyDescent="0.35">
      <c r="A296" t="s">
        <v>30</v>
      </c>
      <c r="B296">
        <v>2021</v>
      </c>
      <c r="C296" t="s">
        <v>36</v>
      </c>
      <c r="D296">
        <v>142.5</v>
      </c>
      <c r="E296">
        <v>189.4</v>
      </c>
      <c r="F296">
        <v>163.19999999999999</v>
      </c>
      <c r="G296">
        <v>154.5</v>
      </c>
      <c r="H296">
        <v>168.2</v>
      </c>
      <c r="I296">
        <v>150.5</v>
      </c>
      <c r="J296">
        <v>141</v>
      </c>
      <c r="K296">
        <v>159.19999999999999</v>
      </c>
      <c r="L296">
        <v>111.7</v>
      </c>
      <c r="M296">
        <v>164</v>
      </c>
      <c r="N296">
        <v>160.6</v>
      </c>
      <c r="O296">
        <v>166.4</v>
      </c>
      <c r="P296">
        <v>154.5</v>
      </c>
      <c r="Q296">
        <v>186.1</v>
      </c>
      <c r="R296">
        <v>159.6</v>
      </c>
      <c r="S296">
        <v>154.4</v>
      </c>
      <c r="T296">
        <v>158.9</v>
      </c>
      <c r="U296" t="s">
        <v>47</v>
      </c>
      <c r="V296">
        <v>156</v>
      </c>
      <c r="W296">
        <v>154.80000000000001</v>
      </c>
      <c r="X296">
        <v>164.6</v>
      </c>
      <c r="Y296">
        <v>151.30000000000001</v>
      </c>
      <c r="Z296">
        <v>157.80000000000001</v>
      </c>
      <c r="AA296">
        <v>163.80000000000001</v>
      </c>
      <c r="AB296">
        <v>153.1</v>
      </c>
      <c r="AC296">
        <v>157.30000000000001</v>
      </c>
      <c r="AD296">
        <v>156.69999999999999</v>
      </c>
      <c r="AE296">
        <f t="shared" si="141"/>
        <v>142.5</v>
      </c>
      <c r="AF296">
        <f t="shared" si="142"/>
        <v>189.4</v>
      </c>
      <c r="AG296">
        <f t="shared" si="143"/>
        <v>163.19999999999999</v>
      </c>
      <c r="AH296">
        <f t="shared" si="144"/>
        <v>154.5</v>
      </c>
      <c r="AI296">
        <f t="shared" si="145"/>
        <v>168.2</v>
      </c>
      <c r="AJ296">
        <f t="shared" si="146"/>
        <v>150.5</v>
      </c>
      <c r="AK296">
        <f t="shared" si="147"/>
        <v>141</v>
      </c>
      <c r="AL296">
        <f t="shared" si="148"/>
        <v>159.19999999999999</v>
      </c>
      <c r="AM296">
        <f t="shared" si="149"/>
        <v>111.7</v>
      </c>
      <c r="AN296">
        <f t="shared" si="150"/>
        <v>164</v>
      </c>
      <c r="AO296">
        <f t="shared" si="151"/>
        <v>160.6</v>
      </c>
      <c r="AP296">
        <f t="shared" si="152"/>
        <v>166.4</v>
      </c>
      <c r="AQ296">
        <f t="shared" si="153"/>
        <v>154.5</v>
      </c>
      <c r="AR296">
        <f t="shared" si="154"/>
        <v>186.1</v>
      </c>
      <c r="AS296">
        <f t="shared" si="155"/>
        <v>159.6</v>
      </c>
      <c r="AT296">
        <f t="shared" si="156"/>
        <v>154.4</v>
      </c>
      <c r="AU296">
        <f t="shared" si="157"/>
        <v>158.9</v>
      </c>
      <c r="AV296">
        <f t="shared" si="158"/>
        <v>159.9</v>
      </c>
      <c r="AW296">
        <f t="shared" si="159"/>
        <v>156</v>
      </c>
      <c r="AX296">
        <f t="shared" si="160"/>
        <v>154.80000000000001</v>
      </c>
      <c r="AY296">
        <f t="shared" si="161"/>
        <v>164.6</v>
      </c>
      <c r="AZ296">
        <f t="shared" si="162"/>
        <v>151.30000000000001</v>
      </c>
      <c r="BA296">
        <f t="shared" si="163"/>
        <v>157.80000000000001</v>
      </c>
      <c r="BB296">
        <f t="shared" si="164"/>
        <v>163.80000000000001</v>
      </c>
      <c r="BC296">
        <f t="shared" si="165"/>
        <v>153.1</v>
      </c>
      <c r="BD296">
        <f t="shared" si="166"/>
        <v>157.30000000000001</v>
      </c>
      <c r="BE296">
        <f t="shared" si="167"/>
        <v>156.69999999999999</v>
      </c>
      <c r="BF296">
        <f t="shared" si="168"/>
        <v>2025.7</v>
      </c>
      <c r="BG296">
        <f t="shared" si="169"/>
        <v>472.9</v>
      </c>
      <c r="BH296">
        <f t="shared" si="170"/>
        <v>317.7</v>
      </c>
      <c r="BI296">
        <f t="shared" si="171"/>
        <v>478.5</v>
      </c>
      <c r="BJ296">
        <f t="shared" si="172"/>
        <v>501.2</v>
      </c>
      <c r="BK296">
        <f t="shared" si="173"/>
        <v>307.3</v>
      </c>
    </row>
    <row r="297" spans="1:63" x14ac:dyDescent="0.35">
      <c r="A297" t="s">
        <v>33</v>
      </c>
      <c r="B297">
        <v>2021</v>
      </c>
      <c r="C297" t="s">
        <v>36</v>
      </c>
      <c r="D297">
        <v>147.5</v>
      </c>
      <c r="E297">
        <v>197.5</v>
      </c>
      <c r="F297">
        <v>164.7</v>
      </c>
      <c r="G297">
        <v>155.6</v>
      </c>
      <c r="H297">
        <v>156.4</v>
      </c>
      <c r="I297">
        <v>157.30000000000001</v>
      </c>
      <c r="J297">
        <v>166.1</v>
      </c>
      <c r="K297">
        <v>161.1</v>
      </c>
      <c r="L297">
        <v>114.3</v>
      </c>
      <c r="M297">
        <v>162.6</v>
      </c>
      <c r="N297">
        <v>150.69999999999999</v>
      </c>
      <c r="O297">
        <v>170.3</v>
      </c>
      <c r="P297">
        <v>160.4</v>
      </c>
      <c r="Q297">
        <v>193.5</v>
      </c>
      <c r="R297">
        <v>155.1</v>
      </c>
      <c r="S297">
        <v>138.69999999999999</v>
      </c>
      <c r="T297">
        <v>152.6</v>
      </c>
      <c r="U297">
        <v>159.9</v>
      </c>
      <c r="V297">
        <v>154.80000000000001</v>
      </c>
      <c r="W297">
        <v>147.19999999999999</v>
      </c>
      <c r="X297">
        <v>156.9</v>
      </c>
      <c r="Y297">
        <v>141.69999999999999</v>
      </c>
      <c r="Z297">
        <v>148.6</v>
      </c>
      <c r="AA297">
        <v>157.6</v>
      </c>
      <c r="AB297">
        <v>154.9</v>
      </c>
      <c r="AC297">
        <v>150</v>
      </c>
      <c r="AD297">
        <v>156.9</v>
      </c>
      <c r="AE297">
        <f t="shared" si="141"/>
        <v>147.5</v>
      </c>
      <c r="AF297">
        <f t="shared" si="142"/>
        <v>197.5</v>
      </c>
      <c r="AG297">
        <f t="shared" si="143"/>
        <v>164.7</v>
      </c>
      <c r="AH297">
        <f t="shared" si="144"/>
        <v>155.6</v>
      </c>
      <c r="AI297">
        <f t="shared" si="145"/>
        <v>156.4</v>
      </c>
      <c r="AJ297">
        <f t="shared" si="146"/>
        <v>157.30000000000001</v>
      </c>
      <c r="AK297">
        <f t="shared" si="147"/>
        <v>166.1</v>
      </c>
      <c r="AL297">
        <f t="shared" si="148"/>
        <v>161.1</v>
      </c>
      <c r="AM297">
        <f t="shared" si="149"/>
        <v>114.3</v>
      </c>
      <c r="AN297">
        <f t="shared" si="150"/>
        <v>162.6</v>
      </c>
      <c r="AO297">
        <f t="shared" si="151"/>
        <v>150.69999999999999</v>
      </c>
      <c r="AP297">
        <f t="shared" si="152"/>
        <v>170.3</v>
      </c>
      <c r="AQ297">
        <f t="shared" si="153"/>
        <v>160.4</v>
      </c>
      <c r="AR297">
        <f t="shared" si="154"/>
        <v>193.5</v>
      </c>
      <c r="AS297">
        <f t="shared" si="155"/>
        <v>155.1</v>
      </c>
      <c r="AT297">
        <f t="shared" si="156"/>
        <v>138.69999999999999</v>
      </c>
      <c r="AU297">
        <f t="shared" si="157"/>
        <v>152.6</v>
      </c>
      <c r="AV297">
        <f t="shared" si="158"/>
        <v>159.9</v>
      </c>
      <c r="AW297">
        <f t="shared" si="159"/>
        <v>154.80000000000001</v>
      </c>
      <c r="AX297">
        <f t="shared" si="160"/>
        <v>147.19999999999999</v>
      </c>
      <c r="AY297">
        <f t="shared" si="161"/>
        <v>156.9</v>
      </c>
      <c r="AZ297">
        <f t="shared" si="162"/>
        <v>141.69999999999999</v>
      </c>
      <c r="BA297">
        <f t="shared" si="163"/>
        <v>148.6</v>
      </c>
      <c r="BB297">
        <f t="shared" si="164"/>
        <v>157.6</v>
      </c>
      <c r="BC297">
        <f t="shared" si="165"/>
        <v>154.9</v>
      </c>
      <c r="BD297">
        <f t="shared" si="166"/>
        <v>150</v>
      </c>
      <c r="BE297">
        <f t="shared" si="167"/>
        <v>156.9</v>
      </c>
      <c r="BF297">
        <f t="shared" si="168"/>
        <v>2064.4999999999995</v>
      </c>
      <c r="BG297">
        <f t="shared" si="169"/>
        <v>446.4</v>
      </c>
      <c r="BH297">
        <f t="shared" si="170"/>
        <v>311.8</v>
      </c>
      <c r="BI297">
        <f t="shared" si="171"/>
        <v>464.69999999999993</v>
      </c>
      <c r="BJ297">
        <f t="shared" si="172"/>
        <v>492.1</v>
      </c>
      <c r="BK297">
        <f t="shared" si="173"/>
        <v>296.5</v>
      </c>
    </row>
    <row r="298" spans="1:63" x14ac:dyDescent="0.35">
      <c r="A298" t="s">
        <v>34</v>
      </c>
      <c r="B298">
        <v>2021</v>
      </c>
      <c r="C298" t="s">
        <v>36</v>
      </c>
      <c r="D298">
        <v>144.1</v>
      </c>
      <c r="E298">
        <v>192.2</v>
      </c>
      <c r="F298">
        <v>163.80000000000001</v>
      </c>
      <c r="G298">
        <v>154.9</v>
      </c>
      <c r="H298">
        <v>163.9</v>
      </c>
      <c r="I298">
        <v>153.69999999999999</v>
      </c>
      <c r="J298">
        <v>149.5</v>
      </c>
      <c r="K298">
        <v>159.80000000000001</v>
      </c>
      <c r="L298">
        <v>112.6</v>
      </c>
      <c r="M298">
        <v>163.5</v>
      </c>
      <c r="N298">
        <v>156.5</v>
      </c>
      <c r="O298">
        <v>168.2</v>
      </c>
      <c r="P298">
        <v>156.69999999999999</v>
      </c>
      <c r="Q298">
        <v>188.1</v>
      </c>
      <c r="R298">
        <v>157.80000000000001</v>
      </c>
      <c r="S298">
        <v>147.9</v>
      </c>
      <c r="T298">
        <v>156.4</v>
      </c>
      <c r="U298">
        <v>159.9</v>
      </c>
      <c r="V298">
        <v>155.5</v>
      </c>
      <c r="W298">
        <v>151.19999999999999</v>
      </c>
      <c r="X298">
        <v>161.69999999999999</v>
      </c>
      <c r="Y298">
        <v>146.19999999999999</v>
      </c>
      <c r="Z298">
        <v>152.6</v>
      </c>
      <c r="AA298">
        <v>160.19999999999999</v>
      </c>
      <c r="AB298">
        <v>153.80000000000001</v>
      </c>
      <c r="AC298">
        <v>153.80000000000001</v>
      </c>
      <c r="AD298">
        <v>156.80000000000001</v>
      </c>
      <c r="AE298">
        <f t="shared" si="141"/>
        <v>144.1</v>
      </c>
      <c r="AF298">
        <f t="shared" si="142"/>
        <v>192.2</v>
      </c>
      <c r="AG298">
        <f t="shared" si="143"/>
        <v>163.80000000000001</v>
      </c>
      <c r="AH298">
        <f t="shared" si="144"/>
        <v>154.9</v>
      </c>
      <c r="AI298">
        <f t="shared" si="145"/>
        <v>163.9</v>
      </c>
      <c r="AJ298">
        <f t="shared" si="146"/>
        <v>153.69999999999999</v>
      </c>
      <c r="AK298">
        <f t="shared" si="147"/>
        <v>149.5</v>
      </c>
      <c r="AL298">
        <f t="shared" si="148"/>
        <v>159.80000000000001</v>
      </c>
      <c r="AM298">
        <f t="shared" si="149"/>
        <v>112.6</v>
      </c>
      <c r="AN298">
        <f t="shared" si="150"/>
        <v>163.5</v>
      </c>
      <c r="AO298">
        <f t="shared" si="151"/>
        <v>156.5</v>
      </c>
      <c r="AP298">
        <f t="shared" si="152"/>
        <v>168.2</v>
      </c>
      <c r="AQ298">
        <f t="shared" si="153"/>
        <v>156.69999999999999</v>
      </c>
      <c r="AR298">
        <f t="shared" si="154"/>
        <v>188.1</v>
      </c>
      <c r="AS298">
        <f t="shared" si="155"/>
        <v>157.80000000000001</v>
      </c>
      <c r="AT298">
        <f t="shared" si="156"/>
        <v>147.9</v>
      </c>
      <c r="AU298">
        <f t="shared" si="157"/>
        <v>156.4</v>
      </c>
      <c r="AV298">
        <f t="shared" si="158"/>
        <v>159.9</v>
      </c>
      <c r="AW298">
        <f t="shared" si="159"/>
        <v>155.5</v>
      </c>
      <c r="AX298">
        <f t="shared" si="160"/>
        <v>151.19999999999999</v>
      </c>
      <c r="AY298">
        <f t="shared" si="161"/>
        <v>161.69999999999999</v>
      </c>
      <c r="AZ298">
        <f t="shared" si="162"/>
        <v>146.19999999999999</v>
      </c>
      <c r="BA298">
        <f t="shared" si="163"/>
        <v>152.6</v>
      </c>
      <c r="BB298">
        <f t="shared" si="164"/>
        <v>160.19999999999999</v>
      </c>
      <c r="BC298">
        <f t="shared" si="165"/>
        <v>153.80000000000001</v>
      </c>
      <c r="BD298">
        <f t="shared" si="166"/>
        <v>153.80000000000001</v>
      </c>
      <c r="BE298">
        <f t="shared" si="167"/>
        <v>156.80000000000001</v>
      </c>
      <c r="BF298">
        <f t="shared" si="168"/>
        <v>2039.3999999999999</v>
      </c>
      <c r="BG298">
        <f t="shared" si="169"/>
        <v>462.1</v>
      </c>
      <c r="BH298">
        <f t="shared" si="170"/>
        <v>315.5</v>
      </c>
      <c r="BI298">
        <f t="shared" si="171"/>
        <v>471.29999999999995</v>
      </c>
      <c r="BJ298">
        <f t="shared" si="172"/>
        <v>494.5</v>
      </c>
      <c r="BK298">
        <f t="shared" si="173"/>
        <v>301.7</v>
      </c>
    </row>
    <row r="299" spans="1:63" x14ac:dyDescent="0.35">
      <c r="A299" t="s">
        <v>30</v>
      </c>
      <c r="B299">
        <v>2021</v>
      </c>
      <c r="C299" t="s">
        <v>37</v>
      </c>
      <c r="D299">
        <v>142.69999999999999</v>
      </c>
      <c r="E299">
        <v>195.5</v>
      </c>
      <c r="F299">
        <v>163.4</v>
      </c>
      <c r="G299">
        <v>155</v>
      </c>
      <c r="H299">
        <v>175.2</v>
      </c>
      <c r="I299">
        <v>160.6</v>
      </c>
      <c r="J299">
        <v>135.1</v>
      </c>
      <c r="K299">
        <v>161.1</v>
      </c>
      <c r="L299">
        <v>112.2</v>
      </c>
      <c r="M299">
        <v>164.4</v>
      </c>
      <c r="N299">
        <v>161.9</v>
      </c>
      <c r="O299">
        <v>166.8</v>
      </c>
      <c r="P299">
        <v>155.6</v>
      </c>
      <c r="Q299">
        <v>186.8</v>
      </c>
      <c r="R299">
        <v>160.69999999999999</v>
      </c>
      <c r="S299">
        <v>155.1</v>
      </c>
      <c r="T299">
        <v>159.9</v>
      </c>
      <c r="U299" t="s">
        <v>47</v>
      </c>
      <c r="V299">
        <v>156</v>
      </c>
      <c r="W299">
        <v>155.5</v>
      </c>
      <c r="X299">
        <v>165.3</v>
      </c>
      <c r="Y299">
        <v>151.69999999999999</v>
      </c>
      <c r="Z299">
        <v>158.6</v>
      </c>
      <c r="AA299">
        <v>164.1</v>
      </c>
      <c r="AB299">
        <v>154.6</v>
      </c>
      <c r="AC299">
        <v>158</v>
      </c>
      <c r="AD299">
        <v>157.6</v>
      </c>
      <c r="AE299">
        <f t="shared" si="141"/>
        <v>142.69999999999999</v>
      </c>
      <c r="AF299">
        <f t="shared" si="142"/>
        <v>195.5</v>
      </c>
      <c r="AG299">
        <f t="shared" si="143"/>
        <v>163.4</v>
      </c>
      <c r="AH299">
        <f t="shared" si="144"/>
        <v>155</v>
      </c>
      <c r="AI299">
        <f t="shared" si="145"/>
        <v>175.2</v>
      </c>
      <c r="AJ299">
        <f t="shared" si="146"/>
        <v>160.6</v>
      </c>
      <c r="AK299">
        <f t="shared" si="147"/>
        <v>135.1</v>
      </c>
      <c r="AL299">
        <f t="shared" si="148"/>
        <v>161.1</v>
      </c>
      <c r="AM299">
        <f t="shared" si="149"/>
        <v>112.2</v>
      </c>
      <c r="AN299">
        <f t="shared" si="150"/>
        <v>164.4</v>
      </c>
      <c r="AO299">
        <f t="shared" si="151"/>
        <v>161.9</v>
      </c>
      <c r="AP299">
        <f t="shared" si="152"/>
        <v>166.8</v>
      </c>
      <c r="AQ299">
        <f t="shared" si="153"/>
        <v>155.6</v>
      </c>
      <c r="AR299">
        <f t="shared" si="154"/>
        <v>186.8</v>
      </c>
      <c r="AS299">
        <f t="shared" si="155"/>
        <v>160.69999999999999</v>
      </c>
      <c r="AT299">
        <f t="shared" si="156"/>
        <v>155.1</v>
      </c>
      <c r="AU299">
        <f t="shared" si="157"/>
        <v>159.9</v>
      </c>
      <c r="AV299">
        <f t="shared" si="158"/>
        <v>161.4</v>
      </c>
      <c r="AW299">
        <f t="shared" si="159"/>
        <v>156</v>
      </c>
      <c r="AX299">
        <f t="shared" si="160"/>
        <v>155.5</v>
      </c>
      <c r="AY299">
        <f t="shared" si="161"/>
        <v>165.3</v>
      </c>
      <c r="AZ299">
        <f t="shared" si="162"/>
        <v>151.69999999999999</v>
      </c>
      <c r="BA299">
        <f t="shared" si="163"/>
        <v>158.6</v>
      </c>
      <c r="BB299">
        <f t="shared" si="164"/>
        <v>164.1</v>
      </c>
      <c r="BC299">
        <f t="shared" si="165"/>
        <v>154.6</v>
      </c>
      <c r="BD299">
        <f t="shared" si="166"/>
        <v>158</v>
      </c>
      <c r="BE299">
        <f t="shared" si="167"/>
        <v>157.6</v>
      </c>
      <c r="BF299">
        <f t="shared" si="168"/>
        <v>2049.5</v>
      </c>
      <c r="BG299">
        <f t="shared" si="169"/>
        <v>475.69999999999993</v>
      </c>
      <c r="BH299">
        <f t="shared" si="170"/>
        <v>319.89999999999998</v>
      </c>
      <c r="BI299">
        <f t="shared" si="171"/>
        <v>481</v>
      </c>
      <c r="BJ299">
        <f t="shared" si="172"/>
        <v>503.4</v>
      </c>
      <c r="BK299">
        <f t="shared" si="173"/>
        <v>307.7</v>
      </c>
    </row>
    <row r="300" spans="1:63" x14ac:dyDescent="0.35">
      <c r="A300" t="s">
        <v>33</v>
      </c>
      <c r="B300">
        <v>2021</v>
      </c>
      <c r="C300" t="s">
        <v>37</v>
      </c>
      <c r="D300">
        <v>147.6</v>
      </c>
      <c r="E300">
        <v>202.5</v>
      </c>
      <c r="F300">
        <v>166.4</v>
      </c>
      <c r="G300">
        <v>156</v>
      </c>
      <c r="H300">
        <v>161.4</v>
      </c>
      <c r="I300">
        <v>168.8</v>
      </c>
      <c r="J300">
        <v>161.6</v>
      </c>
      <c r="K300">
        <v>162.80000000000001</v>
      </c>
      <c r="L300">
        <v>114.8</v>
      </c>
      <c r="M300">
        <v>162.80000000000001</v>
      </c>
      <c r="N300">
        <v>151.5</v>
      </c>
      <c r="O300">
        <v>171.4</v>
      </c>
      <c r="P300">
        <v>162</v>
      </c>
      <c r="Q300">
        <v>194.4</v>
      </c>
      <c r="R300">
        <v>155.9</v>
      </c>
      <c r="S300">
        <v>139.30000000000001</v>
      </c>
      <c r="T300">
        <v>153.4</v>
      </c>
      <c r="U300">
        <v>161.4</v>
      </c>
      <c r="V300">
        <v>154.9</v>
      </c>
      <c r="W300">
        <v>147.6</v>
      </c>
      <c r="X300">
        <v>157.5</v>
      </c>
      <c r="Y300">
        <v>142.1</v>
      </c>
      <c r="Z300">
        <v>149.1</v>
      </c>
      <c r="AA300">
        <v>157.6</v>
      </c>
      <c r="AB300">
        <v>156.6</v>
      </c>
      <c r="AC300">
        <v>150.5</v>
      </c>
      <c r="AD300">
        <v>158</v>
      </c>
      <c r="AE300">
        <f t="shared" si="141"/>
        <v>147.6</v>
      </c>
      <c r="AF300">
        <f t="shared" si="142"/>
        <v>202.5</v>
      </c>
      <c r="AG300">
        <f t="shared" si="143"/>
        <v>166.4</v>
      </c>
      <c r="AH300">
        <f t="shared" si="144"/>
        <v>156</v>
      </c>
      <c r="AI300">
        <f t="shared" si="145"/>
        <v>161.4</v>
      </c>
      <c r="AJ300">
        <f t="shared" si="146"/>
        <v>168.8</v>
      </c>
      <c r="AK300">
        <f t="shared" si="147"/>
        <v>161.6</v>
      </c>
      <c r="AL300">
        <f t="shared" si="148"/>
        <v>162.80000000000001</v>
      </c>
      <c r="AM300">
        <f t="shared" si="149"/>
        <v>114.8</v>
      </c>
      <c r="AN300">
        <f t="shared" si="150"/>
        <v>162.80000000000001</v>
      </c>
      <c r="AO300">
        <f t="shared" si="151"/>
        <v>151.5</v>
      </c>
      <c r="AP300">
        <f t="shared" si="152"/>
        <v>171.4</v>
      </c>
      <c r="AQ300">
        <f t="shared" si="153"/>
        <v>162</v>
      </c>
      <c r="AR300">
        <f t="shared" si="154"/>
        <v>194.4</v>
      </c>
      <c r="AS300">
        <f t="shared" si="155"/>
        <v>155.9</v>
      </c>
      <c r="AT300">
        <f t="shared" si="156"/>
        <v>139.30000000000001</v>
      </c>
      <c r="AU300">
        <f t="shared" si="157"/>
        <v>153.4</v>
      </c>
      <c r="AV300">
        <f t="shared" si="158"/>
        <v>161.4</v>
      </c>
      <c r="AW300">
        <f t="shared" si="159"/>
        <v>154.9</v>
      </c>
      <c r="AX300">
        <f t="shared" si="160"/>
        <v>147.6</v>
      </c>
      <c r="AY300">
        <f t="shared" si="161"/>
        <v>157.5</v>
      </c>
      <c r="AZ300">
        <f t="shared" si="162"/>
        <v>142.1</v>
      </c>
      <c r="BA300">
        <f t="shared" si="163"/>
        <v>149.1</v>
      </c>
      <c r="BB300">
        <f t="shared" si="164"/>
        <v>157.6</v>
      </c>
      <c r="BC300">
        <f t="shared" si="165"/>
        <v>156.6</v>
      </c>
      <c r="BD300">
        <f t="shared" si="166"/>
        <v>150.5</v>
      </c>
      <c r="BE300">
        <f t="shared" si="167"/>
        <v>158</v>
      </c>
      <c r="BF300">
        <f t="shared" si="168"/>
        <v>2089.6</v>
      </c>
      <c r="BG300">
        <f t="shared" si="169"/>
        <v>448.6</v>
      </c>
      <c r="BH300">
        <f t="shared" si="170"/>
        <v>314.10000000000002</v>
      </c>
      <c r="BI300">
        <f t="shared" si="171"/>
        <v>466.6</v>
      </c>
      <c r="BJ300">
        <f t="shared" si="172"/>
        <v>494</v>
      </c>
      <c r="BK300">
        <f t="shared" si="173"/>
        <v>297</v>
      </c>
    </row>
    <row r="301" spans="1:63" x14ac:dyDescent="0.35">
      <c r="A301" t="s">
        <v>34</v>
      </c>
      <c r="B301">
        <v>2021</v>
      </c>
      <c r="C301" t="s">
        <v>37</v>
      </c>
      <c r="D301">
        <v>144.30000000000001</v>
      </c>
      <c r="E301">
        <v>198</v>
      </c>
      <c r="F301">
        <v>164.6</v>
      </c>
      <c r="G301">
        <v>155.4</v>
      </c>
      <c r="H301">
        <v>170.1</v>
      </c>
      <c r="I301">
        <v>164.4</v>
      </c>
      <c r="J301">
        <v>144.1</v>
      </c>
      <c r="K301">
        <v>161.69999999999999</v>
      </c>
      <c r="L301">
        <v>113.1</v>
      </c>
      <c r="M301">
        <v>163.9</v>
      </c>
      <c r="N301">
        <v>157.6</v>
      </c>
      <c r="O301">
        <v>168.9</v>
      </c>
      <c r="P301">
        <v>158</v>
      </c>
      <c r="Q301">
        <v>188.8</v>
      </c>
      <c r="R301">
        <v>158.80000000000001</v>
      </c>
      <c r="S301">
        <v>148.5</v>
      </c>
      <c r="T301">
        <v>157.30000000000001</v>
      </c>
      <c r="U301">
        <v>161.4</v>
      </c>
      <c r="V301">
        <v>155.6</v>
      </c>
      <c r="W301">
        <v>151.80000000000001</v>
      </c>
      <c r="X301">
        <v>162.30000000000001</v>
      </c>
      <c r="Y301">
        <v>146.6</v>
      </c>
      <c r="Z301">
        <v>153.19999999999999</v>
      </c>
      <c r="AA301">
        <v>160.30000000000001</v>
      </c>
      <c r="AB301">
        <v>155.4</v>
      </c>
      <c r="AC301">
        <v>154.4</v>
      </c>
      <c r="AD301">
        <v>157.80000000000001</v>
      </c>
      <c r="AE301">
        <f t="shared" si="141"/>
        <v>144.30000000000001</v>
      </c>
      <c r="AF301">
        <f t="shared" si="142"/>
        <v>198</v>
      </c>
      <c r="AG301">
        <f t="shared" si="143"/>
        <v>164.6</v>
      </c>
      <c r="AH301">
        <f t="shared" si="144"/>
        <v>155.4</v>
      </c>
      <c r="AI301">
        <f t="shared" si="145"/>
        <v>170.1</v>
      </c>
      <c r="AJ301">
        <f t="shared" si="146"/>
        <v>164.4</v>
      </c>
      <c r="AK301">
        <f t="shared" si="147"/>
        <v>144.1</v>
      </c>
      <c r="AL301">
        <f t="shared" si="148"/>
        <v>161.69999999999999</v>
      </c>
      <c r="AM301">
        <f t="shared" si="149"/>
        <v>113.1</v>
      </c>
      <c r="AN301">
        <f t="shared" si="150"/>
        <v>163.9</v>
      </c>
      <c r="AO301">
        <f t="shared" si="151"/>
        <v>157.6</v>
      </c>
      <c r="AP301">
        <f t="shared" si="152"/>
        <v>168.9</v>
      </c>
      <c r="AQ301">
        <f t="shared" si="153"/>
        <v>158</v>
      </c>
      <c r="AR301">
        <f t="shared" si="154"/>
        <v>188.8</v>
      </c>
      <c r="AS301">
        <f t="shared" si="155"/>
        <v>158.80000000000001</v>
      </c>
      <c r="AT301">
        <f t="shared" si="156"/>
        <v>148.5</v>
      </c>
      <c r="AU301">
        <f t="shared" si="157"/>
        <v>157.30000000000001</v>
      </c>
      <c r="AV301">
        <f t="shared" si="158"/>
        <v>161.4</v>
      </c>
      <c r="AW301">
        <f t="shared" si="159"/>
        <v>155.6</v>
      </c>
      <c r="AX301">
        <f t="shared" si="160"/>
        <v>151.80000000000001</v>
      </c>
      <c r="AY301">
        <f t="shared" si="161"/>
        <v>162.30000000000001</v>
      </c>
      <c r="AZ301">
        <f t="shared" si="162"/>
        <v>146.6</v>
      </c>
      <c r="BA301">
        <f t="shared" si="163"/>
        <v>153.19999999999999</v>
      </c>
      <c r="BB301">
        <f t="shared" si="164"/>
        <v>160.30000000000001</v>
      </c>
      <c r="BC301">
        <f t="shared" si="165"/>
        <v>155.4</v>
      </c>
      <c r="BD301">
        <f t="shared" si="166"/>
        <v>154.4</v>
      </c>
      <c r="BE301">
        <f t="shared" si="167"/>
        <v>157.80000000000001</v>
      </c>
      <c r="BF301">
        <f t="shared" si="168"/>
        <v>2064.1</v>
      </c>
      <c r="BG301">
        <f t="shared" si="169"/>
        <v>464.6</v>
      </c>
      <c r="BH301">
        <f t="shared" si="170"/>
        <v>317.70000000000005</v>
      </c>
      <c r="BI301">
        <f t="shared" si="171"/>
        <v>473.5</v>
      </c>
      <c r="BJ301">
        <f t="shared" si="172"/>
        <v>496.4</v>
      </c>
      <c r="BK301">
        <f t="shared" si="173"/>
        <v>302.2</v>
      </c>
    </row>
    <row r="302" spans="1:63" x14ac:dyDescent="0.35">
      <c r="A302" t="s">
        <v>30</v>
      </c>
      <c r="B302">
        <v>2021</v>
      </c>
      <c r="C302" t="s">
        <v>38</v>
      </c>
      <c r="D302">
        <v>145.1</v>
      </c>
      <c r="E302">
        <v>198.5</v>
      </c>
      <c r="F302">
        <v>168.6</v>
      </c>
      <c r="G302">
        <v>155.80000000000001</v>
      </c>
      <c r="H302">
        <v>184.4</v>
      </c>
      <c r="I302">
        <v>162.30000000000001</v>
      </c>
      <c r="J302">
        <v>138.4</v>
      </c>
      <c r="K302">
        <v>165.1</v>
      </c>
      <c r="L302">
        <v>114.3</v>
      </c>
      <c r="M302">
        <v>169.7</v>
      </c>
      <c r="N302">
        <v>164.6</v>
      </c>
      <c r="O302">
        <v>169.8</v>
      </c>
      <c r="P302">
        <v>158.69999999999999</v>
      </c>
      <c r="Q302">
        <v>189.6</v>
      </c>
      <c r="R302">
        <v>165.3</v>
      </c>
      <c r="S302">
        <v>160.6</v>
      </c>
      <c r="T302">
        <v>164.5</v>
      </c>
      <c r="U302" t="s">
        <v>32</v>
      </c>
      <c r="V302">
        <v>161.69999999999999</v>
      </c>
      <c r="W302">
        <v>158.80000000000001</v>
      </c>
      <c r="X302">
        <v>169.1</v>
      </c>
      <c r="Y302">
        <v>153.19999999999999</v>
      </c>
      <c r="Z302">
        <v>160</v>
      </c>
      <c r="AA302">
        <v>167.6</v>
      </c>
      <c r="AB302">
        <v>159.30000000000001</v>
      </c>
      <c r="AC302">
        <v>161.1</v>
      </c>
      <c r="AD302">
        <v>161.1</v>
      </c>
      <c r="AE302">
        <f t="shared" si="141"/>
        <v>145.1</v>
      </c>
      <c r="AF302">
        <f t="shared" si="142"/>
        <v>198.5</v>
      </c>
      <c r="AG302">
        <f t="shared" si="143"/>
        <v>168.6</v>
      </c>
      <c r="AH302">
        <f t="shared" si="144"/>
        <v>155.80000000000001</v>
      </c>
      <c r="AI302">
        <f t="shared" si="145"/>
        <v>184.4</v>
      </c>
      <c r="AJ302">
        <f t="shared" si="146"/>
        <v>162.30000000000001</v>
      </c>
      <c r="AK302">
        <f t="shared" si="147"/>
        <v>138.4</v>
      </c>
      <c r="AL302">
        <f t="shared" si="148"/>
        <v>165.1</v>
      </c>
      <c r="AM302">
        <f t="shared" si="149"/>
        <v>114.3</v>
      </c>
      <c r="AN302">
        <f t="shared" si="150"/>
        <v>169.7</v>
      </c>
      <c r="AO302">
        <f t="shared" si="151"/>
        <v>164.6</v>
      </c>
      <c r="AP302">
        <f t="shared" si="152"/>
        <v>169.8</v>
      </c>
      <c r="AQ302">
        <f t="shared" si="153"/>
        <v>158.69999999999999</v>
      </c>
      <c r="AR302">
        <f t="shared" si="154"/>
        <v>189.6</v>
      </c>
      <c r="AS302">
        <f t="shared" si="155"/>
        <v>165.3</v>
      </c>
      <c r="AT302">
        <f t="shared" si="156"/>
        <v>160.6</v>
      </c>
      <c r="AU302">
        <f t="shared" si="157"/>
        <v>164.5</v>
      </c>
      <c r="AV302">
        <f t="shared" si="158"/>
        <v>161.6</v>
      </c>
      <c r="AW302">
        <f t="shared" si="159"/>
        <v>161.69999999999999</v>
      </c>
      <c r="AX302">
        <f t="shared" si="160"/>
        <v>158.80000000000001</v>
      </c>
      <c r="AY302">
        <f t="shared" si="161"/>
        <v>169.1</v>
      </c>
      <c r="AZ302">
        <f t="shared" si="162"/>
        <v>153.19999999999999</v>
      </c>
      <c r="BA302">
        <f t="shared" si="163"/>
        <v>160</v>
      </c>
      <c r="BB302">
        <f t="shared" si="164"/>
        <v>167.6</v>
      </c>
      <c r="BC302">
        <f t="shared" si="165"/>
        <v>159.30000000000001</v>
      </c>
      <c r="BD302">
        <f t="shared" si="166"/>
        <v>161.1</v>
      </c>
      <c r="BE302">
        <f t="shared" si="167"/>
        <v>161.1</v>
      </c>
      <c r="BF302">
        <f t="shared" si="168"/>
        <v>2095.2999999999997</v>
      </c>
      <c r="BG302">
        <f t="shared" si="169"/>
        <v>490.4</v>
      </c>
      <c r="BH302">
        <f t="shared" si="170"/>
        <v>328.4</v>
      </c>
      <c r="BI302">
        <f t="shared" si="171"/>
        <v>488</v>
      </c>
      <c r="BJ302">
        <f t="shared" si="172"/>
        <v>510.70000000000005</v>
      </c>
      <c r="BK302">
        <f t="shared" si="173"/>
        <v>314.89999999999998</v>
      </c>
    </row>
    <row r="303" spans="1:63" x14ac:dyDescent="0.35">
      <c r="A303" t="s">
        <v>33</v>
      </c>
      <c r="B303">
        <v>2021</v>
      </c>
      <c r="C303" t="s">
        <v>38</v>
      </c>
      <c r="D303">
        <v>148.80000000000001</v>
      </c>
      <c r="E303">
        <v>204.3</v>
      </c>
      <c r="F303">
        <v>173</v>
      </c>
      <c r="G303">
        <v>156.5</v>
      </c>
      <c r="H303">
        <v>168.8</v>
      </c>
      <c r="I303">
        <v>172.5</v>
      </c>
      <c r="J303">
        <v>166.5</v>
      </c>
      <c r="K303">
        <v>165.9</v>
      </c>
      <c r="L303">
        <v>115.9</v>
      </c>
      <c r="M303">
        <v>165.2</v>
      </c>
      <c r="N303">
        <v>152</v>
      </c>
      <c r="O303">
        <v>171.1</v>
      </c>
      <c r="P303">
        <v>164.2</v>
      </c>
      <c r="Q303">
        <v>198.2</v>
      </c>
      <c r="R303">
        <v>156.5</v>
      </c>
      <c r="S303">
        <v>140.19999999999999</v>
      </c>
      <c r="T303">
        <v>154.1</v>
      </c>
      <c r="U303">
        <v>161.6</v>
      </c>
      <c r="V303">
        <v>155.5</v>
      </c>
      <c r="W303">
        <v>150.1</v>
      </c>
      <c r="X303">
        <v>160.4</v>
      </c>
      <c r="Y303">
        <v>145</v>
      </c>
      <c r="Z303">
        <v>152.6</v>
      </c>
      <c r="AA303">
        <v>156.6</v>
      </c>
      <c r="AB303">
        <v>157.5</v>
      </c>
      <c r="AC303">
        <v>152.30000000000001</v>
      </c>
      <c r="AD303">
        <v>159.5</v>
      </c>
      <c r="AE303">
        <f t="shared" si="141"/>
        <v>148.80000000000001</v>
      </c>
      <c r="AF303">
        <f t="shared" si="142"/>
        <v>204.3</v>
      </c>
      <c r="AG303">
        <f t="shared" si="143"/>
        <v>173</v>
      </c>
      <c r="AH303">
        <f t="shared" si="144"/>
        <v>156.5</v>
      </c>
      <c r="AI303">
        <f t="shared" si="145"/>
        <v>168.8</v>
      </c>
      <c r="AJ303">
        <f t="shared" si="146"/>
        <v>172.5</v>
      </c>
      <c r="AK303">
        <f t="shared" si="147"/>
        <v>166.5</v>
      </c>
      <c r="AL303">
        <f t="shared" si="148"/>
        <v>165.9</v>
      </c>
      <c r="AM303">
        <f t="shared" si="149"/>
        <v>115.9</v>
      </c>
      <c r="AN303">
        <f t="shared" si="150"/>
        <v>165.2</v>
      </c>
      <c r="AO303">
        <f t="shared" si="151"/>
        <v>152</v>
      </c>
      <c r="AP303">
        <f t="shared" si="152"/>
        <v>171.1</v>
      </c>
      <c r="AQ303">
        <f t="shared" si="153"/>
        <v>164.2</v>
      </c>
      <c r="AR303">
        <f t="shared" si="154"/>
        <v>198.2</v>
      </c>
      <c r="AS303">
        <f t="shared" si="155"/>
        <v>156.5</v>
      </c>
      <c r="AT303">
        <f t="shared" si="156"/>
        <v>140.19999999999999</v>
      </c>
      <c r="AU303">
        <f t="shared" si="157"/>
        <v>154.1</v>
      </c>
      <c r="AV303">
        <f t="shared" si="158"/>
        <v>161.6</v>
      </c>
      <c r="AW303">
        <f t="shared" si="159"/>
        <v>155.5</v>
      </c>
      <c r="AX303">
        <f t="shared" si="160"/>
        <v>150.1</v>
      </c>
      <c r="AY303">
        <f t="shared" si="161"/>
        <v>160.4</v>
      </c>
      <c r="AZ303">
        <f t="shared" si="162"/>
        <v>145</v>
      </c>
      <c r="BA303">
        <f t="shared" si="163"/>
        <v>152.6</v>
      </c>
      <c r="BB303">
        <f t="shared" si="164"/>
        <v>156.6</v>
      </c>
      <c r="BC303">
        <f t="shared" si="165"/>
        <v>157.5</v>
      </c>
      <c r="BD303">
        <f t="shared" si="166"/>
        <v>152.30000000000001</v>
      </c>
      <c r="BE303">
        <f t="shared" si="167"/>
        <v>159.5</v>
      </c>
      <c r="BF303">
        <f t="shared" si="168"/>
        <v>2124.7000000000003</v>
      </c>
      <c r="BG303">
        <f t="shared" si="169"/>
        <v>450.79999999999995</v>
      </c>
      <c r="BH303">
        <f t="shared" si="170"/>
        <v>317.89999999999998</v>
      </c>
      <c r="BI303">
        <f t="shared" si="171"/>
        <v>468.29999999999995</v>
      </c>
      <c r="BJ303">
        <f t="shared" si="172"/>
        <v>503.09999999999997</v>
      </c>
      <c r="BK303">
        <f t="shared" si="173"/>
        <v>300.5</v>
      </c>
    </row>
    <row r="304" spans="1:63" x14ac:dyDescent="0.35">
      <c r="A304" t="s">
        <v>34</v>
      </c>
      <c r="B304">
        <v>2021</v>
      </c>
      <c r="C304" t="s">
        <v>38</v>
      </c>
      <c r="D304">
        <v>146.30000000000001</v>
      </c>
      <c r="E304">
        <v>200.5</v>
      </c>
      <c r="F304">
        <v>170.3</v>
      </c>
      <c r="G304">
        <v>156.1</v>
      </c>
      <c r="H304">
        <v>178.7</v>
      </c>
      <c r="I304">
        <v>167.1</v>
      </c>
      <c r="J304">
        <v>147.9</v>
      </c>
      <c r="K304">
        <v>165.4</v>
      </c>
      <c r="L304">
        <v>114.8</v>
      </c>
      <c r="M304">
        <v>168.2</v>
      </c>
      <c r="N304">
        <v>159.30000000000001</v>
      </c>
      <c r="O304">
        <v>170.4</v>
      </c>
      <c r="P304">
        <v>160.69999999999999</v>
      </c>
      <c r="Q304">
        <v>191.9</v>
      </c>
      <c r="R304">
        <v>161.80000000000001</v>
      </c>
      <c r="S304">
        <v>152.1</v>
      </c>
      <c r="T304">
        <v>160.4</v>
      </c>
      <c r="U304">
        <v>161.6</v>
      </c>
      <c r="V304">
        <v>159.4</v>
      </c>
      <c r="W304">
        <v>154.69999999999999</v>
      </c>
      <c r="X304">
        <v>165.8</v>
      </c>
      <c r="Y304">
        <v>148.9</v>
      </c>
      <c r="Z304">
        <v>155.80000000000001</v>
      </c>
      <c r="AA304">
        <v>161.19999999999999</v>
      </c>
      <c r="AB304">
        <v>158.6</v>
      </c>
      <c r="AC304">
        <v>156.80000000000001</v>
      </c>
      <c r="AD304">
        <v>160.4</v>
      </c>
      <c r="AE304">
        <f t="shared" si="141"/>
        <v>146.30000000000001</v>
      </c>
      <c r="AF304">
        <f t="shared" si="142"/>
        <v>200.5</v>
      </c>
      <c r="AG304">
        <f t="shared" si="143"/>
        <v>170.3</v>
      </c>
      <c r="AH304">
        <f t="shared" si="144"/>
        <v>156.1</v>
      </c>
      <c r="AI304">
        <f t="shared" si="145"/>
        <v>178.7</v>
      </c>
      <c r="AJ304">
        <f t="shared" si="146"/>
        <v>167.1</v>
      </c>
      <c r="AK304">
        <f t="shared" si="147"/>
        <v>147.9</v>
      </c>
      <c r="AL304">
        <f t="shared" si="148"/>
        <v>165.4</v>
      </c>
      <c r="AM304">
        <f t="shared" si="149"/>
        <v>114.8</v>
      </c>
      <c r="AN304">
        <f t="shared" si="150"/>
        <v>168.2</v>
      </c>
      <c r="AO304">
        <f t="shared" si="151"/>
        <v>159.30000000000001</v>
      </c>
      <c r="AP304">
        <f t="shared" si="152"/>
        <v>170.4</v>
      </c>
      <c r="AQ304">
        <f t="shared" si="153"/>
        <v>160.69999999999999</v>
      </c>
      <c r="AR304">
        <f t="shared" si="154"/>
        <v>191.9</v>
      </c>
      <c r="AS304">
        <f t="shared" si="155"/>
        <v>161.80000000000001</v>
      </c>
      <c r="AT304">
        <f t="shared" si="156"/>
        <v>152.1</v>
      </c>
      <c r="AU304">
        <f t="shared" si="157"/>
        <v>160.4</v>
      </c>
      <c r="AV304">
        <f t="shared" si="158"/>
        <v>161.6</v>
      </c>
      <c r="AW304">
        <f t="shared" si="159"/>
        <v>159.4</v>
      </c>
      <c r="AX304">
        <f t="shared" si="160"/>
        <v>154.69999999999999</v>
      </c>
      <c r="AY304">
        <f t="shared" si="161"/>
        <v>165.8</v>
      </c>
      <c r="AZ304">
        <f t="shared" si="162"/>
        <v>148.9</v>
      </c>
      <c r="BA304">
        <f t="shared" si="163"/>
        <v>155.80000000000001</v>
      </c>
      <c r="BB304">
        <f t="shared" si="164"/>
        <v>161.19999999999999</v>
      </c>
      <c r="BC304">
        <f t="shared" si="165"/>
        <v>158.6</v>
      </c>
      <c r="BD304">
        <f t="shared" si="166"/>
        <v>156.80000000000001</v>
      </c>
      <c r="BE304">
        <f t="shared" si="167"/>
        <v>160.4</v>
      </c>
      <c r="BF304">
        <f t="shared" si="168"/>
        <v>2105.7000000000003</v>
      </c>
      <c r="BG304">
        <f t="shared" si="169"/>
        <v>474.29999999999995</v>
      </c>
      <c r="BH304">
        <f t="shared" si="170"/>
        <v>324.39999999999998</v>
      </c>
      <c r="BI304">
        <f t="shared" si="171"/>
        <v>477.5</v>
      </c>
      <c r="BJ304">
        <f t="shared" si="172"/>
        <v>504.50000000000006</v>
      </c>
      <c r="BK304">
        <f t="shared" si="173"/>
        <v>308.3</v>
      </c>
    </row>
    <row r="305" spans="1:63" x14ac:dyDescent="0.35">
      <c r="A305" t="s">
        <v>30</v>
      </c>
      <c r="B305">
        <v>2021</v>
      </c>
      <c r="C305" t="s">
        <v>39</v>
      </c>
      <c r="D305">
        <v>145.6</v>
      </c>
      <c r="E305">
        <v>200.1</v>
      </c>
      <c r="F305">
        <v>179.3</v>
      </c>
      <c r="G305">
        <v>156.1</v>
      </c>
      <c r="H305">
        <v>190.4</v>
      </c>
      <c r="I305">
        <v>158.6</v>
      </c>
      <c r="J305">
        <v>144.69999999999999</v>
      </c>
      <c r="K305">
        <v>165.5</v>
      </c>
      <c r="L305">
        <v>114.6</v>
      </c>
      <c r="M305">
        <v>170</v>
      </c>
      <c r="N305">
        <v>165.5</v>
      </c>
      <c r="O305">
        <v>171.7</v>
      </c>
      <c r="P305">
        <v>160.5</v>
      </c>
      <c r="Q305">
        <v>189.1</v>
      </c>
      <c r="R305">
        <v>165.3</v>
      </c>
      <c r="S305">
        <v>159.9</v>
      </c>
      <c r="T305">
        <v>164.6</v>
      </c>
      <c r="U305" t="s">
        <v>32</v>
      </c>
      <c r="V305">
        <v>162.1</v>
      </c>
      <c r="W305">
        <v>159.19999999999999</v>
      </c>
      <c r="X305">
        <v>169.7</v>
      </c>
      <c r="Y305">
        <v>154.19999999999999</v>
      </c>
      <c r="Z305">
        <v>160.4</v>
      </c>
      <c r="AA305">
        <v>166.8</v>
      </c>
      <c r="AB305">
        <v>159.4</v>
      </c>
      <c r="AC305">
        <v>161.5</v>
      </c>
      <c r="AD305">
        <v>162.1</v>
      </c>
      <c r="AE305">
        <f t="shared" si="141"/>
        <v>145.6</v>
      </c>
      <c r="AF305">
        <f t="shared" si="142"/>
        <v>200.1</v>
      </c>
      <c r="AG305">
        <f t="shared" si="143"/>
        <v>179.3</v>
      </c>
      <c r="AH305">
        <f t="shared" si="144"/>
        <v>156.1</v>
      </c>
      <c r="AI305">
        <f t="shared" si="145"/>
        <v>190.4</v>
      </c>
      <c r="AJ305">
        <f t="shared" si="146"/>
        <v>158.6</v>
      </c>
      <c r="AK305">
        <f t="shared" si="147"/>
        <v>144.69999999999999</v>
      </c>
      <c r="AL305">
        <f t="shared" si="148"/>
        <v>165.5</v>
      </c>
      <c r="AM305">
        <f t="shared" si="149"/>
        <v>114.6</v>
      </c>
      <c r="AN305">
        <f t="shared" si="150"/>
        <v>170</v>
      </c>
      <c r="AO305">
        <f t="shared" si="151"/>
        <v>165.5</v>
      </c>
      <c r="AP305">
        <f t="shared" si="152"/>
        <v>171.7</v>
      </c>
      <c r="AQ305">
        <f t="shared" si="153"/>
        <v>160.5</v>
      </c>
      <c r="AR305">
        <f t="shared" si="154"/>
        <v>189.1</v>
      </c>
      <c r="AS305">
        <f t="shared" si="155"/>
        <v>165.3</v>
      </c>
      <c r="AT305">
        <f t="shared" si="156"/>
        <v>159.9</v>
      </c>
      <c r="AU305">
        <f t="shared" si="157"/>
        <v>164.6</v>
      </c>
      <c r="AV305">
        <f t="shared" si="158"/>
        <v>160.5</v>
      </c>
      <c r="AW305">
        <f t="shared" si="159"/>
        <v>162.1</v>
      </c>
      <c r="AX305">
        <f t="shared" si="160"/>
        <v>159.19999999999999</v>
      </c>
      <c r="AY305">
        <f t="shared" si="161"/>
        <v>169.7</v>
      </c>
      <c r="AZ305">
        <f t="shared" si="162"/>
        <v>154.19999999999999</v>
      </c>
      <c r="BA305">
        <f t="shared" si="163"/>
        <v>160.4</v>
      </c>
      <c r="BB305">
        <f t="shared" si="164"/>
        <v>166.8</v>
      </c>
      <c r="BC305">
        <f t="shared" si="165"/>
        <v>159.4</v>
      </c>
      <c r="BD305">
        <f t="shared" si="166"/>
        <v>161.5</v>
      </c>
      <c r="BE305">
        <f t="shared" si="167"/>
        <v>162.1</v>
      </c>
      <c r="BF305">
        <f t="shared" si="168"/>
        <v>2122.6</v>
      </c>
      <c r="BG305">
        <f t="shared" si="169"/>
        <v>489.80000000000007</v>
      </c>
      <c r="BH305">
        <f t="shared" si="170"/>
        <v>329.1</v>
      </c>
      <c r="BI305">
        <f t="shared" si="171"/>
        <v>486.5</v>
      </c>
      <c r="BJ305">
        <f t="shared" si="172"/>
        <v>511</v>
      </c>
      <c r="BK305">
        <f t="shared" si="173"/>
        <v>316.29999999999995</v>
      </c>
    </row>
    <row r="306" spans="1:63" x14ac:dyDescent="0.35">
      <c r="A306" t="s">
        <v>33</v>
      </c>
      <c r="B306">
        <v>2021</v>
      </c>
      <c r="C306" t="s">
        <v>39</v>
      </c>
      <c r="D306">
        <v>149.19999999999999</v>
      </c>
      <c r="E306">
        <v>205.5</v>
      </c>
      <c r="F306">
        <v>182.8</v>
      </c>
      <c r="G306">
        <v>156.5</v>
      </c>
      <c r="H306">
        <v>172.2</v>
      </c>
      <c r="I306">
        <v>171.5</v>
      </c>
      <c r="J306">
        <v>176.2</v>
      </c>
      <c r="K306">
        <v>166.9</v>
      </c>
      <c r="L306">
        <v>116.1</v>
      </c>
      <c r="M306">
        <v>165.5</v>
      </c>
      <c r="N306">
        <v>152.30000000000001</v>
      </c>
      <c r="O306">
        <v>173.3</v>
      </c>
      <c r="P306">
        <v>166.2</v>
      </c>
      <c r="Q306">
        <v>195.6</v>
      </c>
      <c r="R306">
        <v>157.30000000000001</v>
      </c>
      <c r="S306">
        <v>140.5</v>
      </c>
      <c r="T306">
        <v>154.80000000000001</v>
      </c>
      <c r="U306">
        <v>160.5</v>
      </c>
      <c r="V306">
        <v>156.1</v>
      </c>
      <c r="W306">
        <v>149.80000000000001</v>
      </c>
      <c r="X306">
        <v>160.80000000000001</v>
      </c>
      <c r="Y306">
        <v>147.5</v>
      </c>
      <c r="Z306">
        <v>150.69999999999999</v>
      </c>
      <c r="AA306">
        <v>158.1</v>
      </c>
      <c r="AB306">
        <v>158</v>
      </c>
      <c r="AC306">
        <v>153.4</v>
      </c>
      <c r="AD306">
        <v>160.4</v>
      </c>
      <c r="AE306">
        <f t="shared" si="141"/>
        <v>149.19999999999999</v>
      </c>
      <c r="AF306">
        <f t="shared" si="142"/>
        <v>205.5</v>
      </c>
      <c r="AG306">
        <f t="shared" si="143"/>
        <v>182.8</v>
      </c>
      <c r="AH306">
        <f t="shared" si="144"/>
        <v>156.5</v>
      </c>
      <c r="AI306">
        <f t="shared" si="145"/>
        <v>172.2</v>
      </c>
      <c r="AJ306">
        <f t="shared" si="146"/>
        <v>171.5</v>
      </c>
      <c r="AK306">
        <f t="shared" si="147"/>
        <v>176.2</v>
      </c>
      <c r="AL306">
        <f t="shared" si="148"/>
        <v>166.9</v>
      </c>
      <c r="AM306">
        <f t="shared" si="149"/>
        <v>116.1</v>
      </c>
      <c r="AN306">
        <f t="shared" si="150"/>
        <v>165.5</v>
      </c>
      <c r="AO306">
        <f t="shared" si="151"/>
        <v>152.30000000000001</v>
      </c>
      <c r="AP306">
        <f t="shared" si="152"/>
        <v>173.3</v>
      </c>
      <c r="AQ306">
        <f t="shared" si="153"/>
        <v>166.2</v>
      </c>
      <c r="AR306">
        <f t="shared" si="154"/>
        <v>195.6</v>
      </c>
      <c r="AS306">
        <f t="shared" si="155"/>
        <v>157.30000000000001</v>
      </c>
      <c r="AT306">
        <f t="shared" si="156"/>
        <v>140.5</v>
      </c>
      <c r="AU306">
        <f t="shared" si="157"/>
        <v>154.80000000000001</v>
      </c>
      <c r="AV306">
        <f t="shared" si="158"/>
        <v>160.5</v>
      </c>
      <c r="AW306">
        <f t="shared" si="159"/>
        <v>156.1</v>
      </c>
      <c r="AX306">
        <f t="shared" si="160"/>
        <v>149.80000000000001</v>
      </c>
      <c r="AY306">
        <f t="shared" si="161"/>
        <v>160.80000000000001</v>
      </c>
      <c r="AZ306">
        <f t="shared" si="162"/>
        <v>147.5</v>
      </c>
      <c r="BA306">
        <f t="shared" si="163"/>
        <v>150.69999999999999</v>
      </c>
      <c r="BB306">
        <f t="shared" si="164"/>
        <v>158.1</v>
      </c>
      <c r="BC306">
        <f t="shared" si="165"/>
        <v>158</v>
      </c>
      <c r="BD306">
        <f t="shared" si="166"/>
        <v>153.4</v>
      </c>
      <c r="BE306">
        <f t="shared" si="167"/>
        <v>160.4</v>
      </c>
      <c r="BF306">
        <f t="shared" si="168"/>
        <v>2154.1999999999998</v>
      </c>
      <c r="BG306">
        <f t="shared" si="169"/>
        <v>452.6</v>
      </c>
      <c r="BH306">
        <f t="shared" si="170"/>
        <v>318.8</v>
      </c>
      <c r="BI306">
        <f t="shared" si="171"/>
        <v>468.4</v>
      </c>
      <c r="BJ306">
        <f t="shared" si="172"/>
        <v>499.69999999999993</v>
      </c>
      <c r="BK306">
        <f t="shared" si="173"/>
        <v>303.60000000000002</v>
      </c>
    </row>
    <row r="307" spans="1:63" x14ac:dyDescent="0.35">
      <c r="A307" t="s">
        <v>34</v>
      </c>
      <c r="B307">
        <v>2021</v>
      </c>
      <c r="C307" t="s">
        <v>39</v>
      </c>
      <c r="D307">
        <v>146.69999999999999</v>
      </c>
      <c r="E307">
        <v>202</v>
      </c>
      <c r="F307">
        <v>180.7</v>
      </c>
      <c r="G307">
        <v>156.19999999999999</v>
      </c>
      <c r="H307">
        <v>183.7</v>
      </c>
      <c r="I307">
        <v>164.6</v>
      </c>
      <c r="J307">
        <v>155.4</v>
      </c>
      <c r="K307">
        <v>166</v>
      </c>
      <c r="L307">
        <v>115.1</v>
      </c>
      <c r="M307">
        <v>168.5</v>
      </c>
      <c r="N307">
        <v>160</v>
      </c>
      <c r="O307">
        <v>172.4</v>
      </c>
      <c r="P307">
        <v>162.6</v>
      </c>
      <c r="Q307">
        <v>190.8</v>
      </c>
      <c r="R307">
        <v>162.19999999999999</v>
      </c>
      <c r="S307">
        <v>151.80000000000001</v>
      </c>
      <c r="T307">
        <v>160.69999999999999</v>
      </c>
      <c r="U307">
        <v>160.5</v>
      </c>
      <c r="V307">
        <v>159.80000000000001</v>
      </c>
      <c r="W307">
        <v>154.80000000000001</v>
      </c>
      <c r="X307">
        <v>166.3</v>
      </c>
      <c r="Y307">
        <v>150.69999999999999</v>
      </c>
      <c r="Z307">
        <v>154.9</v>
      </c>
      <c r="AA307">
        <v>161.69999999999999</v>
      </c>
      <c r="AB307">
        <v>158.80000000000001</v>
      </c>
      <c r="AC307">
        <v>157.6</v>
      </c>
      <c r="AD307">
        <v>161.30000000000001</v>
      </c>
      <c r="AE307">
        <f t="shared" si="141"/>
        <v>146.69999999999999</v>
      </c>
      <c r="AF307">
        <f t="shared" si="142"/>
        <v>202</v>
      </c>
      <c r="AG307">
        <f t="shared" si="143"/>
        <v>180.7</v>
      </c>
      <c r="AH307">
        <f t="shared" si="144"/>
        <v>156.19999999999999</v>
      </c>
      <c r="AI307">
        <f t="shared" si="145"/>
        <v>183.7</v>
      </c>
      <c r="AJ307">
        <f t="shared" si="146"/>
        <v>164.6</v>
      </c>
      <c r="AK307">
        <f t="shared" si="147"/>
        <v>155.4</v>
      </c>
      <c r="AL307">
        <f t="shared" si="148"/>
        <v>166</v>
      </c>
      <c r="AM307">
        <f t="shared" si="149"/>
        <v>115.1</v>
      </c>
      <c r="AN307">
        <f t="shared" si="150"/>
        <v>168.5</v>
      </c>
      <c r="AO307">
        <f t="shared" si="151"/>
        <v>160</v>
      </c>
      <c r="AP307">
        <f t="shared" si="152"/>
        <v>172.4</v>
      </c>
      <c r="AQ307">
        <f t="shared" si="153"/>
        <v>162.6</v>
      </c>
      <c r="AR307">
        <f t="shared" si="154"/>
        <v>190.8</v>
      </c>
      <c r="AS307">
        <f t="shared" si="155"/>
        <v>162.19999999999999</v>
      </c>
      <c r="AT307">
        <f t="shared" si="156"/>
        <v>151.80000000000001</v>
      </c>
      <c r="AU307">
        <f t="shared" si="157"/>
        <v>160.69999999999999</v>
      </c>
      <c r="AV307">
        <f t="shared" si="158"/>
        <v>160.5</v>
      </c>
      <c r="AW307">
        <f t="shared" si="159"/>
        <v>159.80000000000001</v>
      </c>
      <c r="AX307">
        <f t="shared" si="160"/>
        <v>154.80000000000001</v>
      </c>
      <c r="AY307">
        <f t="shared" si="161"/>
        <v>166.3</v>
      </c>
      <c r="AZ307">
        <f t="shared" si="162"/>
        <v>150.69999999999999</v>
      </c>
      <c r="BA307">
        <f t="shared" si="163"/>
        <v>154.9</v>
      </c>
      <c r="BB307">
        <f t="shared" si="164"/>
        <v>161.69999999999999</v>
      </c>
      <c r="BC307">
        <f t="shared" si="165"/>
        <v>158.80000000000001</v>
      </c>
      <c r="BD307">
        <f t="shared" si="166"/>
        <v>157.6</v>
      </c>
      <c r="BE307">
        <f t="shared" si="167"/>
        <v>161.30000000000001</v>
      </c>
      <c r="BF307">
        <f t="shared" si="168"/>
        <v>2133.9</v>
      </c>
      <c r="BG307">
        <f t="shared" si="169"/>
        <v>474.7</v>
      </c>
      <c r="BH307">
        <f t="shared" si="170"/>
        <v>325.10000000000002</v>
      </c>
      <c r="BI307">
        <f t="shared" si="171"/>
        <v>477</v>
      </c>
      <c r="BJ307">
        <f t="shared" si="172"/>
        <v>503.30000000000007</v>
      </c>
      <c r="BK307">
        <f t="shared" si="173"/>
        <v>310.5</v>
      </c>
    </row>
    <row r="308" spans="1:63" x14ac:dyDescent="0.35">
      <c r="A308" t="s">
        <v>30</v>
      </c>
      <c r="B308">
        <v>2021</v>
      </c>
      <c r="C308" t="s">
        <v>40</v>
      </c>
      <c r="D308">
        <v>145.1</v>
      </c>
      <c r="E308">
        <v>204.5</v>
      </c>
      <c r="F308">
        <v>180.4</v>
      </c>
      <c r="G308">
        <v>157.1</v>
      </c>
      <c r="H308">
        <v>188.7</v>
      </c>
      <c r="I308">
        <v>157.69999999999999</v>
      </c>
      <c r="J308">
        <v>152.80000000000001</v>
      </c>
      <c r="K308">
        <v>163.6</v>
      </c>
      <c r="L308">
        <v>113.9</v>
      </c>
      <c r="M308">
        <v>169.7</v>
      </c>
      <c r="N308">
        <v>166.2</v>
      </c>
      <c r="O308">
        <v>171</v>
      </c>
      <c r="P308">
        <v>161.69999999999999</v>
      </c>
      <c r="Q308">
        <v>189.7</v>
      </c>
      <c r="R308">
        <v>166</v>
      </c>
      <c r="S308">
        <v>161.1</v>
      </c>
      <c r="T308">
        <v>165.3</v>
      </c>
      <c r="U308" t="s">
        <v>32</v>
      </c>
      <c r="V308">
        <v>162.5</v>
      </c>
      <c r="W308">
        <v>160.30000000000001</v>
      </c>
      <c r="X308">
        <v>170.4</v>
      </c>
      <c r="Y308">
        <v>157.1</v>
      </c>
      <c r="Z308">
        <v>160.69999999999999</v>
      </c>
      <c r="AA308">
        <v>167.2</v>
      </c>
      <c r="AB308">
        <v>160.4</v>
      </c>
      <c r="AC308">
        <v>162.80000000000001</v>
      </c>
      <c r="AD308">
        <v>163.19999999999999</v>
      </c>
      <c r="AE308">
        <f t="shared" si="141"/>
        <v>145.1</v>
      </c>
      <c r="AF308">
        <f t="shared" si="142"/>
        <v>204.5</v>
      </c>
      <c r="AG308">
        <f t="shared" si="143"/>
        <v>180.4</v>
      </c>
      <c r="AH308">
        <f t="shared" si="144"/>
        <v>157.1</v>
      </c>
      <c r="AI308">
        <f t="shared" si="145"/>
        <v>188.7</v>
      </c>
      <c r="AJ308">
        <f t="shared" si="146"/>
        <v>157.69999999999999</v>
      </c>
      <c r="AK308">
        <f t="shared" si="147"/>
        <v>152.80000000000001</v>
      </c>
      <c r="AL308">
        <f t="shared" si="148"/>
        <v>163.6</v>
      </c>
      <c r="AM308">
        <f t="shared" si="149"/>
        <v>113.9</v>
      </c>
      <c r="AN308">
        <f t="shared" si="150"/>
        <v>169.7</v>
      </c>
      <c r="AO308">
        <f t="shared" si="151"/>
        <v>166.2</v>
      </c>
      <c r="AP308">
        <f t="shared" si="152"/>
        <v>171</v>
      </c>
      <c r="AQ308">
        <f t="shared" si="153"/>
        <v>161.69999999999999</v>
      </c>
      <c r="AR308">
        <f t="shared" si="154"/>
        <v>189.7</v>
      </c>
      <c r="AS308">
        <f t="shared" si="155"/>
        <v>166</v>
      </c>
      <c r="AT308">
        <f t="shared" si="156"/>
        <v>161.1</v>
      </c>
      <c r="AU308">
        <f t="shared" si="157"/>
        <v>165.3</v>
      </c>
      <c r="AV308">
        <f t="shared" si="158"/>
        <v>161.5</v>
      </c>
      <c r="AW308">
        <f t="shared" si="159"/>
        <v>162.5</v>
      </c>
      <c r="AX308">
        <f t="shared" si="160"/>
        <v>160.30000000000001</v>
      </c>
      <c r="AY308">
        <f t="shared" si="161"/>
        <v>170.4</v>
      </c>
      <c r="AZ308">
        <f t="shared" si="162"/>
        <v>157.1</v>
      </c>
      <c r="BA308">
        <f t="shared" si="163"/>
        <v>160.69999999999999</v>
      </c>
      <c r="BB308">
        <f t="shared" si="164"/>
        <v>167.2</v>
      </c>
      <c r="BC308">
        <f t="shared" si="165"/>
        <v>160.4</v>
      </c>
      <c r="BD308">
        <f t="shared" si="166"/>
        <v>162.80000000000001</v>
      </c>
      <c r="BE308">
        <f t="shared" si="167"/>
        <v>163.19999999999999</v>
      </c>
      <c r="BF308">
        <f t="shared" si="168"/>
        <v>2132.4</v>
      </c>
      <c r="BG308">
        <f t="shared" si="169"/>
        <v>492.40000000000003</v>
      </c>
      <c r="BH308">
        <f t="shared" si="170"/>
        <v>330.8</v>
      </c>
      <c r="BI308">
        <f t="shared" si="171"/>
        <v>489</v>
      </c>
      <c r="BJ308">
        <f t="shared" si="172"/>
        <v>513.20000000000005</v>
      </c>
      <c r="BK308">
        <f t="shared" si="173"/>
        <v>319.60000000000002</v>
      </c>
    </row>
    <row r="309" spans="1:63" x14ac:dyDescent="0.35">
      <c r="A309" t="s">
        <v>33</v>
      </c>
      <c r="B309">
        <v>2021</v>
      </c>
      <c r="C309" t="s">
        <v>40</v>
      </c>
      <c r="D309">
        <v>149.1</v>
      </c>
      <c r="E309">
        <v>210.9</v>
      </c>
      <c r="F309">
        <v>185</v>
      </c>
      <c r="G309">
        <v>158.19999999999999</v>
      </c>
      <c r="H309">
        <v>170.6</v>
      </c>
      <c r="I309">
        <v>170.9</v>
      </c>
      <c r="J309">
        <v>186.4</v>
      </c>
      <c r="K309">
        <v>164.7</v>
      </c>
      <c r="L309">
        <v>115.7</v>
      </c>
      <c r="M309">
        <v>165.5</v>
      </c>
      <c r="N309">
        <v>153.4</v>
      </c>
      <c r="O309">
        <v>173.5</v>
      </c>
      <c r="P309">
        <v>167.9</v>
      </c>
      <c r="Q309">
        <v>195.5</v>
      </c>
      <c r="R309">
        <v>157.9</v>
      </c>
      <c r="S309">
        <v>141.9</v>
      </c>
      <c r="T309">
        <v>155.5</v>
      </c>
      <c r="U309">
        <v>161.5</v>
      </c>
      <c r="V309">
        <v>157.69999999999999</v>
      </c>
      <c r="W309">
        <v>150.69999999999999</v>
      </c>
      <c r="X309">
        <v>161.5</v>
      </c>
      <c r="Y309">
        <v>149.5</v>
      </c>
      <c r="Z309">
        <v>151.19999999999999</v>
      </c>
      <c r="AA309">
        <v>160.30000000000001</v>
      </c>
      <c r="AB309">
        <v>159.6</v>
      </c>
      <c r="AC309">
        <v>155</v>
      </c>
      <c r="AD309">
        <v>161.80000000000001</v>
      </c>
      <c r="AE309">
        <f t="shared" si="141"/>
        <v>149.1</v>
      </c>
      <c r="AF309">
        <f t="shared" si="142"/>
        <v>210.9</v>
      </c>
      <c r="AG309">
        <f t="shared" si="143"/>
        <v>185</v>
      </c>
      <c r="AH309">
        <f t="shared" si="144"/>
        <v>158.19999999999999</v>
      </c>
      <c r="AI309">
        <f t="shared" si="145"/>
        <v>170.6</v>
      </c>
      <c r="AJ309">
        <f t="shared" si="146"/>
        <v>170.9</v>
      </c>
      <c r="AK309">
        <f t="shared" si="147"/>
        <v>186.4</v>
      </c>
      <c r="AL309">
        <f t="shared" si="148"/>
        <v>164.7</v>
      </c>
      <c r="AM309">
        <f t="shared" si="149"/>
        <v>115.7</v>
      </c>
      <c r="AN309">
        <f t="shared" si="150"/>
        <v>165.5</v>
      </c>
      <c r="AO309">
        <f t="shared" si="151"/>
        <v>153.4</v>
      </c>
      <c r="AP309">
        <f t="shared" si="152"/>
        <v>173.5</v>
      </c>
      <c r="AQ309">
        <f t="shared" si="153"/>
        <v>167.9</v>
      </c>
      <c r="AR309">
        <f t="shared" si="154"/>
        <v>195.5</v>
      </c>
      <c r="AS309">
        <f t="shared" si="155"/>
        <v>157.9</v>
      </c>
      <c r="AT309">
        <f t="shared" si="156"/>
        <v>141.9</v>
      </c>
      <c r="AU309">
        <f t="shared" si="157"/>
        <v>155.5</v>
      </c>
      <c r="AV309">
        <f t="shared" si="158"/>
        <v>161.5</v>
      </c>
      <c r="AW309">
        <f t="shared" si="159"/>
        <v>157.69999999999999</v>
      </c>
      <c r="AX309">
        <f t="shared" si="160"/>
        <v>150.69999999999999</v>
      </c>
      <c r="AY309">
        <f t="shared" si="161"/>
        <v>161.5</v>
      </c>
      <c r="AZ309">
        <f t="shared" si="162"/>
        <v>149.5</v>
      </c>
      <c r="BA309">
        <f t="shared" si="163"/>
        <v>151.19999999999999</v>
      </c>
      <c r="BB309">
        <f t="shared" si="164"/>
        <v>160.30000000000001</v>
      </c>
      <c r="BC309">
        <f t="shared" si="165"/>
        <v>159.6</v>
      </c>
      <c r="BD309">
        <f t="shared" si="166"/>
        <v>155</v>
      </c>
      <c r="BE309">
        <f t="shared" si="167"/>
        <v>161.80000000000001</v>
      </c>
      <c r="BF309">
        <f t="shared" si="168"/>
        <v>2171.8000000000002</v>
      </c>
      <c r="BG309">
        <f t="shared" si="169"/>
        <v>455.3</v>
      </c>
      <c r="BH309">
        <f t="shared" si="170"/>
        <v>321.10000000000002</v>
      </c>
      <c r="BI309">
        <f t="shared" si="171"/>
        <v>472.5</v>
      </c>
      <c r="BJ309">
        <f t="shared" si="172"/>
        <v>501.7</v>
      </c>
      <c r="BK309">
        <f t="shared" si="173"/>
        <v>307.2</v>
      </c>
    </row>
    <row r="310" spans="1:63" x14ac:dyDescent="0.35">
      <c r="A310" t="s">
        <v>34</v>
      </c>
      <c r="B310">
        <v>2021</v>
      </c>
      <c r="C310" t="s">
        <v>40</v>
      </c>
      <c r="D310">
        <v>146.4</v>
      </c>
      <c r="E310">
        <v>206.8</v>
      </c>
      <c r="F310">
        <v>182.2</v>
      </c>
      <c r="G310">
        <v>157.5</v>
      </c>
      <c r="H310">
        <v>182.1</v>
      </c>
      <c r="I310">
        <v>163.9</v>
      </c>
      <c r="J310">
        <v>164.2</v>
      </c>
      <c r="K310">
        <v>164</v>
      </c>
      <c r="L310">
        <v>114.5</v>
      </c>
      <c r="M310">
        <v>168.3</v>
      </c>
      <c r="N310">
        <v>160.9</v>
      </c>
      <c r="O310">
        <v>172.2</v>
      </c>
      <c r="P310">
        <v>164</v>
      </c>
      <c r="Q310">
        <v>191.2</v>
      </c>
      <c r="R310">
        <v>162.80000000000001</v>
      </c>
      <c r="S310">
        <v>153.1</v>
      </c>
      <c r="T310">
        <v>161.4</v>
      </c>
      <c r="U310">
        <v>161.5</v>
      </c>
      <c r="V310">
        <v>160.69999999999999</v>
      </c>
      <c r="W310">
        <v>155.80000000000001</v>
      </c>
      <c r="X310">
        <v>167</v>
      </c>
      <c r="Y310">
        <v>153.1</v>
      </c>
      <c r="Z310">
        <v>155.30000000000001</v>
      </c>
      <c r="AA310">
        <v>163.19999999999999</v>
      </c>
      <c r="AB310">
        <v>160.1</v>
      </c>
      <c r="AC310">
        <v>159</v>
      </c>
      <c r="AD310">
        <v>162.5</v>
      </c>
      <c r="AE310">
        <f t="shared" si="141"/>
        <v>146.4</v>
      </c>
      <c r="AF310">
        <f t="shared" si="142"/>
        <v>206.8</v>
      </c>
      <c r="AG310">
        <f t="shared" si="143"/>
        <v>182.2</v>
      </c>
      <c r="AH310">
        <f t="shared" si="144"/>
        <v>157.5</v>
      </c>
      <c r="AI310">
        <f t="shared" si="145"/>
        <v>182.1</v>
      </c>
      <c r="AJ310">
        <f t="shared" si="146"/>
        <v>163.9</v>
      </c>
      <c r="AK310">
        <f t="shared" si="147"/>
        <v>164.2</v>
      </c>
      <c r="AL310">
        <f t="shared" si="148"/>
        <v>164</v>
      </c>
      <c r="AM310">
        <f t="shared" si="149"/>
        <v>114.5</v>
      </c>
      <c r="AN310">
        <f t="shared" si="150"/>
        <v>168.3</v>
      </c>
      <c r="AO310">
        <f t="shared" si="151"/>
        <v>160.9</v>
      </c>
      <c r="AP310">
        <f t="shared" si="152"/>
        <v>172.2</v>
      </c>
      <c r="AQ310">
        <f t="shared" si="153"/>
        <v>164</v>
      </c>
      <c r="AR310">
        <f t="shared" si="154"/>
        <v>191.2</v>
      </c>
      <c r="AS310">
        <f t="shared" si="155"/>
        <v>162.80000000000001</v>
      </c>
      <c r="AT310">
        <f t="shared" si="156"/>
        <v>153.1</v>
      </c>
      <c r="AU310">
        <f t="shared" si="157"/>
        <v>161.4</v>
      </c>
      <c r="AV310">
        <f t="shared" si="158"/>
        <v>161.5</v>
      </c>
      <c r="AW310">
        <f t="shared" si="159"/>
        <v>160.69999999999999</v>
      </c>
      <c r="AX310">
        <f t="shared" si="160"/>
        <v>155.80000000000001</v>
      </c>
      <c r="AY310">
        <f t="shared" si="161"/>
        <v>167</v>
      </c>
      <c r="AZ310">
        <f t="shared" si="162"/>
        <v>153.1</v>
      </c>
      <c r="BA310">
        <f t="shared" si="163"/>
        <v>155.30000000000001</v>
      </c>
      <c r="BB310">
        <f t="shared" si="164"/>
        <v>163.19999999999999</v>
      </c>
      <c r="BC310">
        <f t="shared" si="165"/>
        <v>160.1</v>
      </c>
      <c r="BD310">
        <f t="shared" si="166"/>
        <v>159</v>
      </c>
      <c r="BE310">
        <f t="shared" si="167"/>
        <v>162.5</v>
      </c>
      <c r="BF310">
        <f t="shared" si="168"/>
        <v>2147</v>
      </c>
      <c r="BG310">
        <f t="shared" si="169"/>
        <v>477.29999999999995</v>
      </c>
      <c r="BH310">
        <f t="shared" si="170"/>
        <v>327.10000000000002</v>
      </c>
      <c r="BI310">
        <f t="shared" si="171"/>
        <v>480.5</v>
      </c>
      <c r="BJ310">
        <f t="shared" si="172"/>
        <v>505.5</v>
      </c>
      <c r="BK310">
        <f t="shared" si="173"/>
        <v>313.79999999999995</v>
      </c>
    </row>
    <row r="311" spans="1:63" x14ac:dyDescent="0.35">
      <c r="A311" t="s">
        <v>30</v>
      </c>
      <c r="B311">
        <v>2021</v>
      </c>
      <c r="C311" t="s">
        <v>41</v>
      </c>
      <c r="D311">
        <v>144.9</v>
      </c>
      <c r="E311">
        <v>202.3</v>
      </c>
      <c r="F311">
        <v>176.5</v>
      </c>
      <c r="G311">
        <v>157.5</v>
      </c>
      <c r="H311">
        <v>190.9</v>
      </c>
      <c r="I311">
        <v>155.69999999999999</v>
      </c>
      <c r="J311">
        <v>153.9</v>
      </c>
      <c r="K311">
        <v>162.80000000000001</v>
      </c>
      <c r="L311">
        <v>115.2</v>
      </c>
      <c r="M311">
        <v>169.8</v>
      </c>
      <c r="N311">
        <v>167.6</v>
      </c>
      <c r="O311">
        <v>171.9</v>
      </c>
      <c r="P311">
        <v>161.80000000000001</v>
      </c>
      <c r="Q311">
        <v>190.2</v>
      </c>
      <c r="R311">
        <v>167</v>
      </c>
      <c r="S311">
        <v>162.6</v>
      </c>
      <c r="T311">
        <v>166.3</v>
      </c>
      <c r="U311" t="s">
        <v>32</v>
      </c>
      <c r="V311">
        <v>163.1</v>
      </c>
      <c r="W311">
        <v>160.9</v>
      </c>
      <c r="X311">
        <v>171.1</v>
      </c>
      <c r="Y311">
        <v>157.69999999999999</v>
      </c>
      <c r="Z311">
        <v>161.1</v>
      </c>
      <c r="AA311">
        <v>167.5</v>
      </c>
      <c r="AB311">
        <v>160.30000000000001</v>
      </c>
      <c r="AC311">
        <v>163.30000000000001</v>
      </c>
      <c r="AD311">
        <v>163.6</v>
      </c>
      <c r="AE311">
        <f t="shared" si="141"/>
        <v>144.9</v>
      </c>
      <c r="AF311">
        <f t="shared" si="142"/>
        <v>202.3</v>
      </c>
      <c r="AG311">
        <f t="shared" si="143"/>
        <v>176.5</v>
      </c>
      <c r="AH311">
        <f t="shared" si="144"/>
        <v>157.5</v>
      </c>
      <c r="AI311">
        <f t="shared" si="145"/>
        <v>190.9</v>
      </c>
      <c r="AJ311">
        <f t="shared" si="146"/>
        <v>155.69999999999999</v>
      </c>
      <c r="AK311">
        <f t="shared" si="147"/>
        <v>153.9</v>
      </c>
      <c r="AL311">
        <f t="shared" si="148"/>
        <v>162.80000000000001</v>
      </c>
      <c r="AM311">
        <f t="shared" si="149"/>
        <v>115.2</v>
      </c>
      <c r="AN311">
        <f t="shared" si="150"/>
        <v>169.8</v>
      </c>
      <c r="AO311">
        <f t="shared" si="151"/>
        <v>167.6</v>
      </c>
      <c r="AP311">
        <f t="shared" si="152"/>
        <v>171.9</v>
      </c>
      <c r="AQ311">
        <f t="shared" si="153"/>
        <v>161.80000000000001</v>
      </c>
      <c r="AR311">
        <f t="shared" si="154"/>
        <v>190.2</v>
      </c>
      <c r="AS311">
        <f t="shared" si="155"/>
        <v>167</v>
      </c>
      <c r="AT311">
        <f t="shared" si="156"/>
        <v>162.6</v>
      </c>
      <c r="AU311">
        <f t="shared" si="157"/>
        <v>166.3</v>
      </c>
      <c r="AV311">
        <f t="shared" si="158"/>
        <v>162.1</v>
      </c>
      <c r="AW311">
        <f t="shared" si="159"/>
        <v>163.1</v>
      </c>
      <c r="AX311">
        <f t="shared" si="160"/>
        <v>160.9</v>
      </c>
      <c r="AY311">
        <f t="shared" si="161"/>
        <v>171.1</v>
      </c>
      <c r="AZ311">
        <f t="shared" si="162"/>
        <v>157.69999999999999</v>
      </c>
      <c r="BA311">
        <f t="shared" si="163"/>
        <v>161.1</v>
      </c>
      <c r="BB311">
        <f t="shared" si="164"/>
        <v>167.5</v>
      </c>
      <c r="BC311">
        <f t="shared" si="165"/>
        <v>160.30000000000001</v>
      </c>
      <c r="BD311">
        <f t="shared" si="166"/>
        <v>163.30000000000001</v>
      </c>
      <c r="BE311">
        <f t="shared" si="167"/>
        <v>163.6</v>
      </c>
      <c r="BF311">
        <f t="shared" si="168"/>
        <v>2130.8000000000002</v>
      </c>
      <c r="BG311">
        <f t="shared" si="169"/>
        <v>495.90000000000003</v>
      </c>
      <c r="BH311">
        <f t="shared" si="170"/>
        <v>331.4</v>
      </c>
      <c r="BI311">
        <f t="shared" si="171"/>
        <v>490.5</v>
      </c>
      <c r="BJ311">
        <f t="shared" si="172"/>
        <v>514.59999999999991</v>
      </c>
      <c r="BK311">
        <f t="shared" si="173"/>
        <v>320.79999999999995</v>
      </c>
    </row>
    <row r="312" spans="1:63" x14ac:dyDescent="0.35">
      <c r="A312" t="s">
        <v>33</v>
      </c>
      <c r="B312">
        <v>2021</v>
      </c>
      <c r="C312" t="s">
        <v>41</v>
      </c>
      <c r="D312">
        <v>149.30000000000001</v>
      </c>
      <c r="E312">
        <v>207.4</v>
      </c>
      <c r="F312">
        <v>174.1</v>
      </c>
      <c r="G312">
        <v>159.19999999999999</v>
      </c>
      <c r="H312">
        <v>175</v>
      </c>
      <c r="I312">
        <v>161.30000000000001</v>
      </c>
      <c r="J312">
        <v>183.3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157.30000000000001</v>
      </c>
      <c r="U312">
        <v>162.1</v>
      </c>
      <c r="V312">
        <v>160.69999999999999</v>
      </c>
      <c r="W312">
        <v>153.19999999999999</v>
      </c>
      <c r="X312">
        <v>162.80000000000001</v>
      </c>
      <c r="Y312">
        <v>150.4</v>
      </c>
      <c r="Z312">
        <v>153.69999999999999</v>
      </c>
      <c r="AA312">
        <v>160.4</v>
      </c>
      <c r="AB312">
        <v>159.6</v>
      </c>
      <c r="AC312">
        <v>156</v>
      </c>
      <c r="AD312">
        <v>162.30000000000001</v>
      </c>
      <c r="AE312">
        <f t="shared" si="141"/>
        <v>149.30000000000001</v>
      </c>
      <c r="AF312">
        <f t="shared" si="142"/>
        <v>207.4</v>
      </c>
      <c r="AG312">
        <f t="shared" si="143"/>
        <v>174.1</v>
      </c>
      <c r="AH312">
        <f t="shared" si="144"/>
        <v>159.19999999999999</v>
      </c>
      <c r="AI312">
        <f t="shared" si="145"/>
        <v>175</v>
      </c>
      <c r="AJ312">
        <f t="shared" si="146"/>
        <v>161.30000000000001</v>
      </c>
      <c r="AK312">
        <f t="shared" si="147"/>
        <v>183.3</v>
      </c>
      <c r="AL312">
        <f t="shared" si="148"/>
        <v>164.5</v>
      </c>
      <c r="AM312">
        <f t="shared" si="149"/>
        <v>120.4</v>
      </c>
      <c r="AN312">
        <f t="shared" si="150"/>
        <v>166.2</v>
      </c>
      <c r="AO312">
        <f t="shared" si="151"/>
        <v>154.80000000000001</v>
      </c>
      <c r="AP312">
        <f t="shared" si="152"/>
        <v>175.1</v>
      </c>
      <c r="AQ312">
        <f t="shared" si="153"/>
        <v>167.3</v>
      </c>
      <c r="AR312">
        <f t="shared" si="154"/>
        <v>196.5</v>
      </c>
      <c r="AS312">
        <f t="shared" si="155"/>
        <v>159.80000000000001</v>
      </c>
      <c r="AT312">
        <f t="shared" si="156"/>
        <v>143.6</v>
      </c>
      <c r="AU312">
        <f t="shared" si="157"/>
        <v>157.30000000000001</v>
      </c>
      <c r="AV312">
        <f t="shared" si="158"/>
        <v>162.1</v>
      </c>
      <c r="AW312">
        <f t="shared" si="159"/>
        <v>160.69999999999999</v>
      </c>
      <c r="AX312">
        <f t="shared" si="160"/>
        <v>153.19999999999999</v>
      </c>
      <c r="AY312">
        <f t="shared" si="161"/>
        <v>162.80000000000001</v>
      </c>
      <c r="AZ312">
        <f t="shared" si="162"/>
        <v>150.4</v>
      </c>
      <c r="BA312">
        <f t="shared" si="163"/>
        <v>153.69999999999999</v>
      </c>
      <c r="BB312">
        <f t="shared" si="164"/>
        <v>160.4</v>
      </c>
      <c r="BC312">
        <f t="shared" si="165"/>
        <v>159.6</v>
      </c>
      <c r="BD312">
        <f t="shared" si="166"/>
        <v>156</v>
      </c>
      <c r="BE312">
        <f t="shared" si="167"/>
        <v>162.30000000000001</v>
      </c>
      <c r="BF312">
        <f t="shared" si="168"/>
        <v>2157.9</v>
      </c>
      <c r="BG312">
        <f t="shared" si="169"/>
        <v>460.7</v>
      </c>
      <c r="BH312">
        <f t="shared" si="170"/>
        <v>322.39999999999998</v>
      </c>
      <c r="BI312">
        <f t="shared" si="171"/>
        <v>475.70000000000005</v>
      </c>
      <c r="BJ312">
        <f t="shared" si="172"/>
        <v>506.2</v>
      </c>
      <c r="BK312">
        <f t="shared" si="173"/>
        <v>311.10000000000002</v>
      </c>
    </row>
    <row r="313" spans="1:63" x14ac:dyDescent="0.35">
      <c r="A313" t="s">
        <v>34</v>
      </c>
      <c r="B313">
        <v>2021</v>
      </c>
      <c r="C313" t="s">
        <v>41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156.80000000000001</v>
      </c>
      <c r="J313">
        <v>162.19999999999999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164.5</v>
      </c>
      <c r="S313">
        <v>155.30000000000001</v>
      </c>
      <c r="T313">
        <v>163.19999999999999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</v>
      </c>
      <c r="AA313">
        <v>163.80000000000001</v>
      </c>
      <c r="AB313">
        <v>160</v>
      </c>
      <c r="AC313">
        <v>160</v>
      </c>
      <c r="AD313">
        <v>163.19999999999999</v>
      </c>
      <c r="AE313">
        <f t="shared" si="141"/>
        <v>146.6</v>
      </c>
      <c r="AF313">
        <f t="shared" si="142"/>
        <v>204</v>
      </c>
      <c r="AG313">
        <f t="shared" si="143"/>
        <v>172.8</v>
      </c>
      <c r="AH313">
        <f t="shared" si="144"/>
        <v>158.4</v>
      </c>
      <c r="AI313">
        <f t="shared" si="145"/>
        <v>188</v>
      </c>
      <c r="AJ313">
        <f t="shared" si="146"/>
        <v>156.80000000000001</v>
      </c>
      <c r="AK313">
        <f t="shared" si="147"/>
        <v>162.19999999999999</v>
      </c>
      <c r="AL313">
        <f t="shared" si="148"/>
        <v>164.1</v>
      </c>
      <c r="AM313">
        <f t="shared" si="149"/>
        <v>119.7</v>
      </c>
      <c r="AN313">
        <f t="shared" si="150"/>
        <v>168.8</v>
      </c>
      <c r="AO313">
        <f t="shared" si="151"/>
        <v>162.69999999999999</v>
      </c>
      <c r="AP313">
        <f t="shared" si="152"/>
        <v>173.9</v>
      </c>
      <c r="AQ313">
        <f t="shared" si="153"/>
        <v>164</v>
      </c>
      <c r="AR313">
        <f t="shared" si="154"/>
        <v>192.1</v>
      </c>
      <c r="AS313">
        <f t="shared" si="155"/>
        <v>164.5</v>
      </c>
      <c r="AT313">
        <f t="shared" si="156"/>
        <v>155.30000000000001</v>
      </c>
      <c r="AU313">
        <f t="shared" si="157"/>
        <v>163.19999999999999</v>
      </c>
      <c r="AV313">
        <f t="shared" si="158"/>
        <v>162.1</v>
      </c>
      <c r="AW313">
        <f t="shared" si="159"/>
        <v>162.6</v>
      </c>
      <c r="AX313">
        <f t="shared" si="160"/>
        <v>157.5</v>
      </c>
      <c r="AY313">
        <f t="shared" si="161"/>
        <v>168.4</v>
      </c>
      <c r="AZ313">
        <f t="shared" si="162"/>
        <v>154</v>
      </c>
      <c r="BA313">
        <f t="shared" si="163"/>
        <v>157.6</v>
      </c>
      <c r="BB313">
        <f t="shared" si="164"/>
        <v>163.80000000000001</v>
      </c>
      <c r="BC313">
        <f t="shared" si="165"/>
        <v>160</v>
      </c>
      <c r="BD313">
        <f t="shared" si="166"/>
        <v>160</v>
      </c>
      <c r="BE313">
        <f t="shared" si="167"/>
        <v>163.19999999999999</v>
      </c>
      <c r="BF313">
        <f t="shared" si="168"/>
        <v>2142</v>
      </c>
      <c r="BG313">
        <f t="shared" si="169"/>
        <v>483</v>
      </c>
      <c r="BH313">
        <f t="shared" si="170"/>
        <v>328.4</v>
      </c>
      <c r="BI313">
        <f t="shared" si="171"/>
        <v>483.4</v>
      </c>
      <c r="BJ313">
        <f t="shared" si="172"/>
        <v>509.7</v>
      </c>
      <c r="BK313">
        <f t="shared" si="173"/>
        <v>316.60000000000002</v>
      </c>
    </row>
    <row r="314" spans="1:63" x14ac:dyDescent="0.35">
      <c r="A314" t="s">
        <v>30</v>
      </c>
      <c r="B314">
        <v>2021</v>
      </c>
      <c r="C314" t="s">
        <v>42</v>
      </c>
      <c r="D314">
        <v>145.4</v>
      </c>
      <c r="E314">
        <v>202.1</v>
      </c>
      <c r="F314">
        <v>172</v>
      </c>
      <c r="G314">
        <v>158</v>
      </c>
      <c r="H314">
        <v>195.5</v>
      </c>
      <c r="I314">
        <v>152.69999999999999</v>
      </c>
      <c r="J314">
        <v>151.4</v>
      </c>
      <c r="K314">
        <v>163.9</v>
      </c>
      <c r="L314">
        <v>119.3</v>
      </c>
      <c r="M314">
        <v>170.1</v>
      </c>
      <c r="N314">
        <v>168.3</v>
      </c>
      <c r="O314">
        <v>172.8</v>
      </c>
      <c r="P314">
        <v>162.1</v>
      </c>
      <c r="Q314">
        <v>190.5</v>
      </c>
      <c r="R314">
        <v>167.7</v>
      </c>
      <c r="S314">
        <v>163.6</v>
      </c>
      <c r="T314">
        <v>167.1</v>
      </c>
      <c r="U314" t="s">
        <v>32</v>
      </c>
      <c r="V314">
        <v>163.69999999999999</v>
      </c>
      <c r="W314">
        <v>161.30000000000001</v>
      </c>
      <c r="X314">
        <v>171.9</v>
      </c>
      <c r="Y314">
        <v>157.80000000000001</v>
      </c>
      <c r="Z314">
        <v>162.69999999999999</v>
      </c>
      <c r="AA314">
        <v>168.5</v>
      </c>
      <c r="AB314">
        <v>160.19999999999999</v>
      </c>
      <c r="AC314">
        <v>163.80000000000001</v>
      </c>
      <c r="AD314">
        <v>164</v>
      </c>
      <c r="AE314">
        <f t="shared" si="141"/>
        <v>145.4</v>
      </c>
      <c r="AF314">
        <f t="shared" si="142"/>
        <v>202.1</v>
      </c>
      <c r="AG314">
        <f t="shared" si="143"/>
        <v>172</v>
      </c>
      <c r="AH314">
        <f t="shared" si="144"/>
        <v>158</v>
      </c>
      <c r="AI314">
        <f t="shared" si="145"/>
        <v>195.5</v>
      </c>
      <c r="AJ314">
        <f t="shared" si="146"/>
        <v>152.69999999999999</v>
      </c>
      <c r="AK314">
        <f t="shared" si="147"/>
        <v>151.4</v>
      </c>
      <c r="AL314">
        <f t="shared" si="148"/>
        <v>163.9</v>
      </c>
      <c r="AM314">
        <f t="shared" si="149"/>
        <v>119.3</v>
      </c>
      <c r="AN314">
        <f t="shared" si="150"/>
        <v>170.1</v>
      </c>
      <c r="AO314">
        <f t="shared" si="151"/>
        <v>168.3</v>
      </c>
      <c r="AP314">
        <f t="shared" si="152"/>
        <v>172.8</v>
      </c>
      <c r="AQ314">
        <f t="shared" si="153"/>
        <v>162.1</v>
      </c>
      <c r="AR314">
        <f t="shared" si="154"/>
        <v>190.5</v>
      </c>
      <c r="AS314">
        <f t="shared" si="155"/>
        <v>167.7</v>
      </c>
      <c r="AT314">
        <f t="shared" si="156"/>
        <v>163.6</v>
      </c>
      <c r="AU314">
        <f t="shared" si="157"/>
        <v>167.1</v>
      </c>
      <c r="AV314">
        <f t="shared" si="158"/>
        <v>162.1</v>
      </c>
      <c r="AW314">
        <f t="shared" si="159"/>
        <v>163.69999999999999</v>
      </c>
      <c r="AX314">
        <f t="shared" si="160"/>
        <v>161.30000000000001</v>
      </c>
      <c r="AY314">
        <f t="shared" si="161"/>
        <v>171.9</v>
      </c>
      <c r="AZ314">
        <f t="shared" si="162"/>
        <v>157.80000000000001</v>
      </c>
      <c r="BA314">
        <f t="shared" si="163"/>
        <v>162.69999999999999</v>
      </c>
      <c r="BB314">
        <f t="shared" si="164"/>
        <v>168.5</v>
      </c>
      <c r="BC314">
        <f t="shared" si="165"/>
        <v>160.19999999999999</v>
      </c>
      <c r="BD314">
        <f t="shared" si="166"/>
        <v>163.80000000000001</v>
      </c>
      <c r="BE314">
        <f t="shared" si="167"/>
        <v>164</v>
      </c>
      <c r="BF314">
        <f t="shared" si="168"/>
        <v>2133.6</v>
      </c>
      <c r="BG314">
        <f t="shared" si="169"/>
        <v>498.4</v>
      </c>
      <c r="BH314">
        <f t="shared" si="170"/>
        <v>332.1</v>
      </c>
      <c r="BI314">
        <f t="shared" si="171"/>
        <v>491.9</v>
      </c>
      <c r="BJ314">
        <f t="shared" si="172"/>
        <v>517</v>
      </c>
      <c r="BK314">
        <f t="shared" si="173"/>
        <v>321.5</v>
      </c>
    </row>
    <row r="315" spans="1:63" x14ac:dyDescent="0.35">
      <c r="A315" t="s">
        <v>33</v>
      </c>
      <c r="B315">
        <v>2021</v>
      </c>
      <c r="C315" t="s">
        <v>42</v>
      </c>
      <c r="D315">
        <v>149.30000000000001</v>
      </c>
      <c r="E315">
        <v>207.4</v>
      </c>
      <c r="F315">
        <v>174.1</v>
      </c>
      <c r="G315">
        <v>159.1</v>
      </c>
      <c r="H315">
        <v>175</v>
      </c>
      <c r="I315">
        <v>161.19999999999999</v>
      </c>
      <c r="J315">
        <v>183.5</v>
      </c>
      <c r="K315">
        <v>164.5</v>
      </c>
      <c r="L315">
        <v>120.4</v>
      </c>
      <c r="M315">
        <v>166.2</v>
      </c>
      <c r="N315">
        <v>154.80000000000001</v>
      </c>
      <c r="O315">
        <v>175.1</v>
      </c>
      <c r="P315">
        <v>167.3</v>
      </c>
      <c r="Q315">
        <v>196.5</v>
      </c>
      <c r="R315">
        <v>159.80000000000001</v>
      </c>
      <c r="S315">
        <v>143.6</v>
      </c>
      <c r="T315">
        <v>157.4</v>
      </c>
      <c r="U315">
        <v>162.1</v>
      </c>
      <c r="V315">
        <v>160.80000000000001</v>
      </c>
      <c r="W315">
        <v>153.30000000000001</v>
      </c>
      <c r="X315">
        <v>162.80000000000001</v>
      </c>
      <c r="Y315">
        <v>150.5</v>
      </c>
      <c r="Z315">
        <v>153.9</v>
      </c>
      <c r="AA315">
        <v>160.30000000000001</v>
      </c>
      <c r="AB315">
        <v>159.6</v>
      </c>
      <c r="AC315">
        <v>156</v>
      </c>
      <c r="AD315">
        <v>162.30000000000001</v>
      </c>
      <c r="AE315">
        <f t="shared" si="141"/>
        <v>149.30000000000001</v>
      </c>
      <c r="AF315">
        <f t="shared" si="142"/>
        <v>207.4</v>
      </c>
      <c r="AG315">
        <f t="shared" si="143"/>
        <v>174.1</v>
      </c>
      <c r="AH315">
        <f t="shared" si="144"/>
        <v>159.1</v>
      </c>
      <c r="AI315">
        <f t="shared" si="145"/>
        <v>175</v>
      </c>
      <c r="AJ315">
        <f t="shared" si="146"/>
        <v>161.19999999999999</v>
      </c>
      <c r="AK315">
        <f t="shared" si="147"/>
        <v>183.5</v>
      </c>
      <c r="AL315">
        <f t="shared" si="148"/>
        <v>164.5</v>
      </c>
      <c r="AM315">
        <f t="shared" si="149"/>
        <v>120.4</v>
      </c>
      <c r="AN315">
        <f t="shared" si="150"/>
        <v>166.2</v>
      </c>
      <c r="AO315">
        <f t="shared" si="151"/>
        <v>154.80000000000001</v>
      </c>
      <c r="AP315">
        <f t="shared" si="152"/>
        <v>175.1</v>
      </c>
      <c r="AQ315">
        <f t="shared" si="153"/>
        <v>167.3</v>
      </c>
      <c r="AR315">
        <f t="shared" si="154"/>
        <v>196.5</v>
      </c>
      <c r="AS315">
        <f t="shared" si="155"/>
        <v>159.80000000000001</v>
      </c>
      <c r="AT315">
        <f t="shared" si="156"/>
        <v>143.6</v>
      </c>
      <c r="AU315">
        <f t="shared" si="157"/>
        <v>157.4</v>
      </c>
      <c r="AV315">
        <f t="shared" si="158"/>
        <v>162.1</v>
      </c>
      <c r="AW315">
        <f t="shared" si="159"/>
        <v>160.80000000000001</v>
      </c>
      <c r="AX315">
        <f t="shared" si="160"/>
        <v>153.30000000000001</v>
      </c>
      <c r="AY315">
        <f t="shared" si="161"/>
        <v>162.80000000000001</v>
      </c>
      <c r="AZ315">
        <f t="shared" si="162"/>
        <v>150.5</v>
      </c>
      <c r="BA315">
        <f t="shared" si="163"/>
        <v>153.9</v>
      </c>
      <c r="BB315">
        <f t="shared" si="164"/>
        <v>160.30000000000001</v>
      </c>
      <c r="BC315">
        <f t="shared" si="165"/>
        <v>159.6</v>
      </c>
      <c r="BD315">
        <f t="shared" si="166"/>
        <v>156</v>
      </c>
      <c r="BE315">
        <f t="shared" si="167"/>
        <v>162.30000000000001</v>
      </c>
      <c r="BF315">
        <f t="shared" si="168"/>
        <v>2157.9</v>
      </c>
      <c r="BG315">
        <f t="shared" si="169"/>
        <v>460.79999999999995</v>
      </c>
      <c r="BH315">
        <f t="shared" si="170"/>
        <v>322.39999999999998</v>
      </c>
      <c r="BI315">
        <f t="shared" si="171"/>
        <v>475.70000000000005</v>
      </c>
      <c r="BJ315">
        <f t="shared" si="172"/>
        <v>506.4</v>
      </c>
      <c r="BK315">
        <f t="shared" si="173"/>
        <v>311.3</v>
      </c>
    </row>
    <row r="316" spans="1:63" x14ac:dyDescent="0.35">
      <c r="A316" t="s">
        <v>34</v>
      </c>
      <c r="B316">
        <v>2021</v>
      </c>
      <c r="C316" t="s">
        <v>42</v>
      </c>
      <c r="D316">
        <v>146.6</v>
      </c>
      <c r="E316">
        <v>204</v>
      </c>
      <c r="F316">
        <v>172.8</v>
      </c>
      <c r="G316">
        <v>158.4</v>
      </c>
      <c r="H316">
        <v>188</v>
      </c>
      <c r="I316">
        <v>156.69999999999999</v>
      </c>
      <c r="J316">
        <v>162.30000000000001</v>
      </c>
      <c r="K316">
        <v>164.1</v>
      </c>
      <c r="L316">
        <v>119.7</v>
      </c>
      <c r="M316">
        <v>168.8</v>
      </c>
      <c r="N316">
        <v>162.69999999999999</v>
      </c>
      <c r="O316">
        <v>173.9</v>
      </c>
      <c r="P316">
        <v>164</v>
      </c>
      <c r="Q316">
        <v>192.1</v>
      </c>
      <c r="R316">
        <v>164.6</v>
      </c>
      <c r="S316">
        <v>155.30000000000001</v>
      </c>
      <c r="T316">
        <v>163.30000000000001</v>
      </c>
      <c r="U316">
        <v>162.1</v>
      </c>
      <c r="V316">
        <v>162.6</v>
      </c>
      <c r="W316">
        <v>157.5</v>
      </c>
      <c r="X316">
        <v>168.4</v>
      </c>
      <c r="Y316">
        <v>154</v>
      </c>
      <c r="Z316">
        <v>157.69999999999999</v>
      </c>
      <c r="AA316">
        <v>163.69999999999999</v>
      </c>
      <c r="AB316">
        <v>160</v>
      </c>
      <c r="AC316">
        <v>160</v>
      </c>
      <c r="AD316">
        <v>163.19999999999999</v>
      </c>
      <c r="AE316">
        <f t="shared" si="141"/>
        <v>146.6</v>
      </c>
      <c r="AF316">
        <f t="shared" si="142"/>
        <v>204</v>
      </c>
      <c r="AG316">
        <f t="shared" si="143"/>
        <v>172.8</v>
      </c>
      <c r="AH316">
        <f t="shared" si="144"/>
        <v>158.4</v>
      </c>
      <c r="AI316">
        <f t="shared" si="145"/>
        <v>188</v>
      </c>
      <c r="AJ316">
        <f t="shared" si="146"/>
        <v>156.69999999999999</v>
      </c>
      <c r="AK316">
        <f t="shared" si="147"/>
        <v>162.30000000000001</v>
      </c>
      <c r="AL316">
        <f t="shared" si="148"/>
        <v>164.1</v>
      </c>
      <c r="AM316">
        <f t="shared" si="149"/>
        <v>119.7</v>
      </c>
      <c r="AN316">
        <f t="shared" si="150"/>
        <v>168.8</v>
      </c>
      <c r="AO316">
        <f t="shared" si="151"/>
        <v>162.69999999999999</v>
      </c>
      <c r="AP316">
        <f t="shared" si="152"/>
        <v>173.9</v>
      </c>
      <c r="AQ316">
        <f t="shared" si="153"/>
        <v>164</v>
      </c>
      <c r="AR316">
        <f t="shared" si="154"/>
        <v>192.1</v>
      </c>
      <c r="AS316">
        <f t="shared" si="155"/>
        <v>164.6</v>
      </c>
      <c r="AT316">
        <f t="shared" si="156"/>
        <v>155.30000000000001</v>
      </c>
      <c r="AU316">
        <f t="shared" si="157"/>
        <v>163.30000000000001</v>
      </c>
      <c r="AV316">
        <f t="shared" si="158"/>
        <v>162.1</v>
      </c>
      <c r="AW316">
        <f t="shared" si="159"/>
        <v>162.6</v>
      </c>
      <c r="AX316">
        <f t="shared" si="160"/>
        <v>157.5</v>
      </c>
      <c r="AY316">
        <f t="shared" si="161"/>
        <v>168.4</v>
      </c>
      <c r="AZ316">
        <f t="shared" si="162"/>
        <v>154</v>
      </c>
      <c r="BA316">
        <f t="shared" si="163"/>
        <v>157.69999999999999</v>
      </c>
      <c r="BB316">
        <f t="shared" si="164"/>
        <v>163.69999999999999</v>
      </c>
      <c r="BC316">
        <f t="shared" si="165"/>
        <v>160</v>
      </c>
      <c r="BD316">
        <f t="shared" si="166"/>
        <v>160</v>
      </c>
      <c r="BE316">
        <f t="shared" si="167"/>
        <v>163.19999999999999</v>
      </c>
      <c r="BF316">
        <f t="shared" si="168"/>
        <v>2142</v>
      </c>
      <c r="BG316">
        <f t="shared" si="169"/>
        <v>483.2</v>
      </c>
      <c r="BH316">
        <f t="shared" si="170"/>
        <v>328.4</v>
      </c>
      <c r="BI316">
        <f t="shared" si="171"/>
        <v>483.29999999999995</v>
      </c>
      <c r="BJ316">
        <f t="shared" si="172"/>
        <v>509.79999999999995</v>
      </c>
      <c r="BK316">
        <f t="shared" si="173"/>
        <v>316.60000000000002</v>
      </c>
    </row>
    <row r="317" spans="1:63" x14ac:dyDescent="0.35">
      <c r="A317" t="s">
        <v>30</v>
      </c>
      <c r="B317">
        <v>2021</v>
      </c>
      <c r="C317" t="s">
        <v>43</v>
      </c>
      <c r="D317">
        <v>146.1</v>
      </c>
      <c r="E317">
        <v>202.5</v>
      </c>
      <c r="F317">
        <v>170.1</v>
      </c>
      <c r="G317">
        <v>158.4</v>
      </c>
      <c r="H317">
        <v>198.8</v>
      </c>
      <c r="I317">
        <v>152.6</v>
      </c>
      <c r="J317">
        <v>170.4</v>
      </c>
      <c r="K317">
        <v>165.2</v>
      </c>
      <c r="L317">
        <v>121.6</v>
      </c>
      <c r="M317">
        <v>170.6</v>
      </c>
      <c r="N317">
        <v>168.8</v>
      </c>
      <c r="O317">
        <v>173.6</v>
      </c>
      <c r="P317">
        <v>165.5</v>
      </c>
      <c r="Q317">
        <v>191.2</v>
      </c>
      <c r="R317">
        <v>168.9</v>
      </c>
      <c r="S317">
        <v>164.8</v>
      </c>
      <c r="T317">
        <v>168.3</v>
      </c>
      <c r="U317" t="s">
        <v>32</v>
      </c>
      <c r="V317">
        <v>165.5</v>
      </c>
      <c r="W317">
        <v>162</v>
      </c>
      <c r="X317">
        <v>172.5</v>
      </c>
      <c r="Y317">
        <v>159.5</v>
      </c>
      <c r="Z317">
        <v>163.19999999999999</v>
      </c>
      <c r="AA317">
        <v>169</v>
      </c>
      <c r="AB317">
        <v>161.1</v>
      </c>
      <c r="AC317">
        <v>164.7</v>
      </c>
      <c r="AD317">
        <v>166.3</v>
      </c>
      <c r="AE317">
        <f t="shared" si="141"/>
        <v>146.1</v>
      </c>
      <c r="AF317">
        <f t="shared" si="142"/>
        <v>202.5</v>
      </c>
      <c r="AG317">
        <f t="shared" si="143"/>
        <v>170.1</v>
      </c>
      <c r="AH317">
        <f t="shared" si="144"/>
        <v>158.4</v>
      </c>
      <c r="AI317">
        <f t="shared" si="145"/>
        <v>198.8</v>
      </c>
      <c r="AJ317">
        <f t="shared" si="146"/>
        <v>152.6</v>
      </c>
      <c r="AK317">
        <f t="shared" si="147"/>
        <v>170.4</v>
      </c>
      <c r="AL317">
        <f t="shared" si="148"/>
        <v>165.2</v>
      </c>
      <c r="AM317">
        <f t="shared" si="149"/>
        <v>121.6</v>
      </c>
      <c r="AN317">
        <f t="shared" si="150"/>
        <v>170.6</v>
      </c>
      <c r="AO317">
        <f t="shared" si="151"/>
        <v>168.8</v>
      </c>
      <c r="AP317">
        <f t="shared" si="152"/>
        <v>173.6</v>
      </c>
      <c r="AQ317">
        <f t="shared" si="153"/>
        <v>165.5</v>
      </c>
      <c r="AR317">
        <f t="shared" si="154"/>
        <v>191.2</v>
      </c>
      <c r="AS317">
        <f t="shared" si="155"/>
        <v>168.9</v>
      </c>
      <c r="AT317">
        <f t="shared" si="156"/>
        <v>164.8</v>
      </c>
      <c r="AU317">
        <f t="shared" si="157"/>
        <v>168.3</v>
      </c>
      <c r="AV317">
        <f t="shared" si="158"/>
        <v>163.6</v>
      </c>
      <c r="AW317">
        <f t="shared" si="159"/>
        <v>165.5</v>
      </c>
      <c r="AX317">
        <f t="shared" si="160"/>
        <v>162</v>
      </c>
      <c r="AY317">
        <f t="shared" si="161"/>
        <v>172.5</v>
      </c>
      <c r="AZ317">
        <f t="shared" si="162"/>
        <v>159.5</v>
      </c>
      <c r="BA317">
        <f t="shared" si="163"/>
        <v>163.19999999999999</v>
      </c>
      <c r="BB317">
        <f t="shared" si="164"/>
        <v>169</v>
      </c>
      <c r="BC317">
        <f t="shared" si="165"/>
        <v>161.1</v>
      </c>
      <c r="BD317">
        <f t="shared" si="166"/>
        <v>164.7</v>
      </c>
      <c r="BE317">
        <f t="shared" si="167"/>
        <v>166.3</v>
      </c>
      <c r="BF317">
        <f t="shared" si="168"/>
        <v>2164.1999999999998</v>
      </c>
      <c r="BG317">
        <f t="shared" si="169"/>
        <v>502.00000000000006</v>
      </c>
      <c r="BH317">
        <f t="shared" si="170"/>
        <v>333.6</v>
      </c>
      <c r="BI317">
        <f t="shared" si="171"/>
        <v>494.6</v>
      </c>
      <c r="BJ317">
        <f t="shared" si="172"/>
        <v>519.09999999999991</v>
      </c>
      <c r="BK317">
        <f t="shared" si="173"/>
        <v>325</v>
      </c>
    </row>
    <row r="318" spans="1:63" x14ac:dyDescent="0.35">
      <c r="A318" t="s">
        <v>33</v>
      </c>
      <c r="B318">
        <v>2021</v>
      </c>
      <c r="C318" t="s">
        <v>43</v>
      </c>
      <c r="D318">
        <v>150.1</v>
      </c>
      <c r="E318">
        <v>208.4</v>
      </c>
      <c r="F318">
        <v>173</v>
      </c>
      <c r="G318">
        <v>159.19999999999999</v>
      </c>
      <c r="H318">
        <v>176.6</v>
      </c>
      <c r="I318">
        <v>159.30000000000001</v>
      </c>
      <c r="J318">
        <v>214.4</v>
      </c>
      <c r="K318">
        <v>165.3</v>
      </c>
      <c r="L318">
        <v>122.5</v>
      </c>
      <c r="M318">
        <v>166.8</v>
      </c>
      <c r="N318">
        <v>155.4</v>
      </c>
      <c r="O318">
        <v>175.9</v>
      </c>
      <c r="P318">
        <v>171.5</v>
      </c>
      <c r="Q318">
        <v>197</v>
      </c>
      <c r="R318">
        <v>160.80000000000001</v>
      </c>
      <c r="S318">
        <v>144.4</v>
      </c>
      <c r="T318">
        <v>158.30000000000001</v>
      </c>
      <c r="U318">
        <v>163.6</v>
      </c>
      <c r="V318">
        <v>162.19999999999999</v>
      </c>
      <c r="W318">
        <v>154.30000000000001</v>
      </c>
      <c r="X318">
        <v>163.5</v>
      </c>
      <c r="Y318">
        <v>152.19999999999999</v>
      </c>
      <c r="Z318">
        <v>155.1</v>
      </c>
      <c r="AA318">
        <v>160.30000000000001</v>
      </c>
      <c r="AB318">
        <v>160.30000000000001</v>
      </c>
      <c r="AC318">
        <v>157</v>
      </c>
      <c r="AD318">
        <v>164.6</v>
      </c>
      <c r="AE318">
        <f t="shared" si="141"/>
        <v>150.1</v>
      </c>
      <c r="AF318">
        <f t="shared" si="142"/>
        <v>208.4</v>
      </c>
      <c r="AG318">
        <f t="shared" si="143"/>
        <v>173</v>
      </c>
      <c r="AH318">
        <f t="shared" si="144"/>
        <v>159.19999999999999</v>
      </c>
      <c r="AI318">
        <f t="shared" si="145"/>
        <v>176.6</v>
      </c>
      <c r="AJ318">
        <f t="shared" si="146"/>
        <v>159.30000000000001</v>
      </c>
      <c r="AK318">
        <f t="shared" si="147"/>
        <v>214.4</v>
      </c>
      <c r="AL318">
        <f t="shared" si="148"/>
        <v>165.3</v>
      </c>
      <c r="AM318">
        <f t="shared" si="149"/>
        <v>122.5</v>
      </c>
      <c r="AN318">
        <f t="shared" si="150"/>
        <v>166.8</v>
      </c>
      <c r="AO318">
        <f t="shared" si="151"/>
        <v>155.4</v>
      </c>
      <c r="AP318">
        <f t="shared" si="152"/>
        <v>175.9</v>
      </c>
      <c r="AQ318">
        <f t="shared" si="153"/>
        <v>171.5</v>
      </c>
      <c r="AR318">
        <f t="shared" si="154"/>
        <v>197</v>
      </c>
      <c r="AS318">
        <f t="shared" si="155"/>
        <v>160.80000000000001</v>
      </c>
      <c r="AT318">
        <f t="shared" si="156"/>
        <v>144.4</v>
      </c>
      <c r="AU318">
        <f t="shared" si="157"/>
        <v>158.30000000000001</v>
      </c>
      <c r="AV318">
        <f t="shared" si="158"/>
        <v>163.6</v>
      </c>
      <c r="AW318">
        <f t="shared" si="159"/>
        <v>162.19999999999999</v>
      </c>
      <c r="AX318">
        <f t="shared" si="160"/>
        <v>154.30000000000001</v>
      </c>
      <c r="AY318">
        <f t="shared" si="161"/>
        <v>163.5</v>
      </c>
      <c r="AZ318">
        <f t="shared" si="162"/>
        <v>152.19999999999999</v>
      </c>
      <c r="BA318">
        <f t="shared" si="163"/>
        <v>155.1</v>
      </c>
      <c r="BB318">
        <f t="shared" si="164"/>
        <v>160.30000000000001</v>
      </c>
      <c r="BC318">
        <f t="shared" si="165"/>
        <v>160.30000000000001</v>
      </c>
      <c r="BD318">
        <f t="shared" si="166"/>
        <v>157</v>
      </c>
      <c r="BE318">
        <f t="shared" si="167"/>
        <v>164.6</v>
      </c>
      <c r="BF318">
        <f t="shared" si="168"/>
        <v>2198.4000000000005</v>
      </c>
      <c r="BG318">
        <f t="shared" si="169"/>
        <v>463.50000000000006</v>
      </c>
      <c r="BH318">
        <f t="shared" si="170"/>
        <v>323.8</v>
      </c>
      <c r="BI318">
        <f t="shared" si="171"/>
        <v>478.20000000000005</v>
      </c>
      <c r="BJ318">
        <f t="shared" si="172"/>
        <v>509.1</v>
      </c>
      <c r="BK318">
        <f t="shared" si="173"/>
        <v>314.39999999999998</v>
      </c>
    </row>
    <row r="319" spans="1:63" x14ac:dyDescent="0.35">
      <c r="A319" t="s">
        <v>34</v>
      </c>
      <c r="B319">
        <v>2021</v>
      </c>
      <c r="C319" t="s">
        <v>43</v>
      </c>
      <c r="D319">
        <v>147.4</v>
      </c>
      <c r="E319">
        <v>204.6</v>
      </c>
      <c r="F319">
        <v>171.2</v>
      </c>
      <c r="G319">
        <v>158.69999999999999</v>
      </c>
      <c r="H319">
        <v>190.6</v>
      </c>
      <c r="I319">
        <v>155.69999999999999</v>
      </c>
      <c r="J319">
        <v>185.3</v>
      </c>
      <c r="K319">
        <v>165.2</v>
      </c>
      <c r="L319">
        <v>121.9</v>
      </c>
      <c r="M319">
        <v>169.3</v>
      </c>
      <c r="N319">
        <v>163.19999999999999</v>
      </c>
      <c r="O319">
        <v>174.7</v>
      </c>
      <c r="P319">
        <v>167.7</v>
      </c>
      <c r="Q319">
        <v>192.7</v>
      </c>
      <c r="R319">
        <v>165.7</v>
      </c>
      <c r="S319">
        <v>156.30000000000001</v>
      </c>
      <c r="T319">
        <v>164.3</v>
      </c>
      <c r="U319">
        <v>163.6</v>
      </c>
      <c r="V319">
        <v>164.2</v>
      </c>
      <c r="W319">
        <v>158.4</v>
      </c>
      <c r="X319">
        <v>169.1</v>
      </c>
      <c r="Y319">
        <v>155.69999999999999</v>
      </c>
      <c r="Z319">
        <v>158.6</v>
      </c>
      <c r="AA319">
        <v>163.9</v>
      </c>
      <c r="AB319">
        <v>160.80000000000001</v>
      </c>
      <c r="AC319">
        <v>161</v>
      </c>
      <c r="AD319">
        <v>165.5</v>
      </c>
      <c r="AE319">
        <f t="shared" si="141"/>
        <v>147.4</v>
      </c>
      <c r="AF319">
        <f t="shared" si="142"/>
        <v>204.6</v>
      </c>
      <c r="AG319">
        <f t="shared" si="143"/>
        <v>171.2</v>
      </c>
      <c r="AH319">
        <f t="shared" si="144"/>
        <v>158.69999999999999</v>
      </c>
      <c r="AI319">
        <f t="shared" si="145"/>
        <v>190.6</v>
      </c>
      <c r="AJ319">
        <f t="shared" si="146"/>
        <v>155.69999999999999</v>
      </c>
      <c r="AK319">
        <f t="shared" si="147"/>
        <v>185.3</v>
      </c>
      <c r="AL319">
        <f t="shared" si="148"/>
        <v>165.2</v>
      </c>
      <c r="AM319">
        <f t="shared" si="149"/>
        <v>121.9</v>
      </c>
      <c r="AN319">
        <f t="shared" si="150"/>
        <v>169.3</v>
      </c>
      <c r="AO319">
        <f t="shared" si="151"/>
        <v>163.19999999999999</v>
      </c>
      <c r="AP319">
        <f t="shared" si="152"/>
        <v>174.7</v>
      </c>
      <c r="AQ319">
        <f t="shared" si="153"/>
        <v>167.7</v>
      </c>
      <c r="AR319">
        <f t="shared" si="154"/>
        <v>192.7</v>
      </c>
      <c r="AS319">
        <f t="shared" si="155"/>
        <v>165.7</v>
      </c>
      <c r="AT319">
        <f t="shared" si="156"/>
        <v>156.30000000000001</v>
      </c>
      <c r="AU319">
        <f t="shared" si="157"/>
        <v>164.3</v>
      </c>
      <c r="AV319">
        <f t="shared" si="158"/>
        <v>163.6</v>
      </c>
      <c r="AW319">
        <f t="shared" si="159"/>
        <v>164.2</v>
      </c>
      <c r="AX319">
        <f t="shared" si="160"/>
        <v>158.4</v>
      </c>
      <c r="AY319">
        <f t="shared" si="161"/>
        <v>169.1</v>
      </c>
      <c r="AZ319">
        <f t="shared" si="162"/>
        <v>155.69999999999999</v>
      </c>
      <c r="BA319">
        <f t="shared" si="163"/>
        <v>158.6</v>
      </c>
      <c r="BB319">
        <f t="shared" si="164"/>
        <v>163.9</v>
      </c>
      <c r="BC319">
        <f t="shared" si="165"/>
        <v>160.80000000000001</v>
      </c>
      <c r="BD319">
        <f t="shared" si="166"/>
        <v>161</v>
      </c>
      <c r="BE319">
        <f t="shared" si="167"/>
        <v>165.5</v>
      </c>
      <c r="BF319">
        <f t="shared" si="168"/>
        <v>2175.5</v>
      </c>
      <c r="BG319">
        <f t="shared" si="169"/>
        <v>486.3</v>
      </c>
      <c r="BH319">
        <f t="shared" si="170"/>
        <v>329.9</v>
      </c>
      <c r="BI319">
        <f t="shared" si="171"/>
        <v>485.9</v>
      </c>
      <c r="BJ319">
        <f t="shared" si="172"/>
        <v>512.29999999999995</v>
      </c>
      <c r="BK319">
        <f t="shared" si="173"/>
        <v>319.89999999999998</v>
      </c>
    </row>
    <row r="320" spans="1:63" x14ac:dyDescent="0.35">
      <c r="A320" t="s">
        <v>30</v>
      </c>
      <c r="B320">
        <v>2021</v>
      </c>
      <c r="C320" t="s">
        <v>45</v>
      </c>
      <c r="D320">
        <v>146.9</v>
      </c>
      <c r="E320">
        <v>199.8</v>
      </c>
      <c r="F320">
        <v>171.5</v>
      </c>
      <c r="G320">
        <v>159.1</v>
      </c>
      <c r="H320">
        <v>198.4</v>
      </c>
      <c r="I320">
        <v>153.19999999999999</v>
      </c>
      <c r="J320">
        <v>183.9</v>
      </c>
      <c r="K320">
        <v>165.4</v>
      </c>
      <c r="L320">
        <v>122.1</v>
      </c>
      <c r="M320">
        <v>170.8</v>
      </c>
      <c r="N320">
        <v>169.1</v>
      </c>
      <c r="O320">
        <v>174.3</v>
      </c>
      <c r="P320">
        <v>167.5</v>
      </c>
      <c r="Q320">
        <v>191.4</v>
      </c>
      <c r="R320">
        <v>170.4</v>
      </c>
      <c r="S320">
        <v>166</v>
      </c>
      <c r="T320">
        <v>169.8</v>
      </c>
      <c r="U320" t="s">
        <v>32</v>
      </c>
      <c r="V320">
        <v>165.3</v>
      </c>
      <c r="W320">
        <v>162.9</v>
      </c>
      <c r="X320">
        <v>173.4</v>
      </c>
      <c r="Y320">
        <v>158.9</v>
      </c>
      <c r="Z320">
        <v>163.80000000000001</v>
      </c>
      <c r="AA320">
        <v>169.3</v>
      </c>
      <c r="AB320">
        <v>162.4</v>
      </c>
      <c r="AC320">
        <v>165.2</v>
      </c>
      <c r="AD320">
        <v>167.6</v>
      </c>
      <c r="AE320">
        <f t="shared" si="141"/>
        <v>146.9</v>
      </c>
      <c r="AF320">
        <f t="shared" si="142"/>
        <v>199.8</v>
      </c>
      <c r="AG320">
        <f t="shared" si="143"/>
        <v>171.5</v>
      </c>
      <c r="AH320">
        <f t="shared" si="144"/>
        <v>159.1</v>
      </c>
      <c r="AI320">
        <f t="shared" si="145"/>
        <v>198.4</v>
      </c>
      <c r="AJ320">
        <f t="shared" si="146"/>
        <v>153.19999999999999</v>
      </c>
      <c r="AK320">
        <f t="shared" si="147"/>
        <v>183.9</v>
      </c>
      <c r="AL320">
        <f t="shared" si="148"/>
        <v>165.4</v>
      </c>
      <c r="AM320">
        <f t="shared" si="149"/>
        <v>122.1</v>
      </c>
      <c r="AN320">
        <f t="shared" si="150"/>
        <v>170.8</v>
      </c>
      <c r="AO320">
        <f t="shared" si="151"/>
        <v>169.1</v>
      </c>
      <c r="AP320">
        <f t="shared" si="152"/>
        <v>174.3</v>
      </c>
      <c r="AQ320">
        <f t="shared" si="153"/>
        <v>167.5</v>
      </c>
      <c r="AR320">
        <f t="shared" si="154"/>
        <v>191.4</v>
      </c>
      <c r="AS320">
        <f t="shared" si="155"/>
        <v>170.4</v>
      </c>
      <c r="AT320">
        <f t="shared" si="156"/>
        <v>166</v>
      </c>
      <c r="AU320">
        <f t="shared" si="157"/>
        <v>169.8</v>
      </c>
      <c r="AV320">
        <f t="shared" si="158"/>
        <v>164.2</v>
      </c>
      <c r="AW320">
        <f t="shared" si="159"/>
        <v>165.3</v>
      </c>
      <c r="AX320">
        <f t="shared" si="160"/>
        <v>162.9</v>
      </c>
      <c r="AY320">
        <f t="shared" si="161"/>
        <v>173.4</v>
      </c>
      <c r="AZ320">
        <f t="shared" si="162"/>
        <v>158.9</v>
      </c>
      <c r="BA320">
        <f t="shared" si="163"/>
        <v>163.80000000000001</v>
      </c>
      <c r="BB320">
        <f t="shared" si="164"/>
        <v>169.3</v>
      </c>
      <c r="BC320">
        <f t="shared" si="165"/>
        <v>162.4</v>
      </c>
      <c r="BD320">
        <f t="shared" si="166"/>
        <v>165.2</v>
      </c>
      <c r="BE320">
        <f t="shared" si="167"/>
        <v>167.6</v>
      </c>
      <c r="BF320">
        <f t="shared" si="168"/>
        <v>2182</v>
      </c>
      <c r="BG320">
        <f t="shared" si="169"/>
        <v>506.2</v>
      </c>
      <c r="BH320">
        <f t="shared" si="170"/>
        <v>335.8</v>
      </c>
      <c r="BI320">
        <f t="shared" si="171"/>
        <v>496.40000000000003</v>
      </c>
      <c r="BJ320">
        <f t="shared" si="172"/>
        <v>520.40000000000009</v>
      </c>
      <c r="BK320">
        <f t="shared" si="173"/>
        <v>324.20000000000005</v>
      </c>
    </row>
    <row r="321" spans="1:63" x14ac:dyDescent="0.35">
      <c r="A321" t="s">
        <v>33</v>
      </c>
      <c r="B321">
        <v>2021</v>
      </c>
      <c r="C321" t="s">
        <v>45</v>
      </c>
      <c r="D321">
        <v>151</v>
      </c>
      <c r="E321">
        <v>204.9</v>
      </c>
      <c r="F321">
        <v>175.4</v>
      </c>
      <c r="G321">
        <v>159.6</v>
      </c>
      <c r="H321">
        <v>175.8</v>
      </c>
      <c r="I321">
        <v>160.30000000000001</v>
      </c>
      <c r="J321">
        <v>229.1</v>
      </c>
      <c r="K321">
        <v>165.1</v>
      </c>
      <c r="L321">
        <v>123.1</v>
      </c>
      <c r="M321">
        <v>167.2</v>
      </c>
      <c r="N321">
        <v>156.1</v>
      </c>
      <c r="O321">
        <v>176.8</v>
      </c>
      <c r="P321">
        <v>173.5</v>
      </c>
      <c r="Q321">
        <v>197</v>
      </c>
      <c r="R321">
        <v>162.30000000000001</v>
      </c>
      <c r="S321">
        <v>145.30000000000001</v>
      </c>
      <c r="T321">
        <v>159.69999999999999</v>
      </c>
      <c r="U321">
        <v>164.2</v>
      </c>
      <c r="V321">
        <v>161.6</v>
      </c>
      <c r="W321">
        <v>155.19999999999999</v>
      </c>
      <c r="X321">
        <v>164.2</v>
      </c>
      <c r="Y321">
        <v>151.19999999999999</v>
      </c>
      <c r="Z321">
        <v>156.69999999999999</v>
      </c>
      <c r="AA321">
        <v>160.80000000000001</v>
      </c>
      <c r="AB321">
        <v>161.80000000000001</v>
      </c>
      <c r="AC321">
        <v>157.30000000000001</v>
      </c>
      <c r="AD321">
        <v>165.6</v>
      </c>
      <c r="AE321">
        <f t="shared" si="141"/>
        <v>151</v>
      </c>
      <c r="AF321">
        <f t="shared" si="142"/>
        <v>204.9</v>
      </c>
      <c r="AG321">
        <f t="shared" si="143"/>
        <v>175.4</v>
      </c>
      <c r="AH321">
        <f t="shared" si="144"/>
        <v>159.6</v>
      </c>
      <c r="AI321">
        <f t="shared" si="145"/>
        <v>175.8</v>
      </c>
      <c r="AJ321">
        <f t="shared" si="146"/>
        <v>160.30000000000001</v>
      </c>
      <c r="AK321">
        <f t="shared" si="147"/>
        <v>229.1</v>
      </c>
      <c r="AL321">
        <f t="shared" si="148"/>
        <v>165.1</v>
      </c>
      <c r="AM321">
        <f t="shared" si="149"/>
        <v>123.1</v>
      </c>
      <c r="AN321">
        <f t="shared" si="150"/>
        <v>167.2</v>
      </c>
      <c r="AO321">
        <f t="shared" si="151"/>
        <v>156.1</v>
      </c>
      <c r="AP321">
        <f t="shared" si="152"/>
        <v>176.8</v>
      </c>
      <c r="AQ321">
        <f t="shared" si="153"/>
        <v>173.5</v>
      </c>
      <c r="AR321">
        <f t="shared" si="154"/>
        <v>197</v>
      </c>
      <c r="AS321">
        <f t="shared" si="155"/>
        <v>162.30000000000001</v>
      </c>
      <c r="AT321">
        <f t="shared" si="156"/>
        <v>145.30000000000001</v>
      </c>
      <c r="AU321">
        <f t="shared" si="157"/>
        <v>159.69999999999999</v>
      </c>
      <c r="AV321">
        <f t="shared" si="158"/>
        <v>164.2</v>
      </c>
      <c r="AW321">
        <f t="shared" si="159"/>
        <v>161.6</v>
      </c>
      <c r="AX321">
        <f t="shared" si="160"/>
        <v>155.19999999999999</v>
      </c>
      <c r="AY321">
        <f t="shared" si="161"/>
        <v>164.2</v>
      </c>
      <c r="AZ321">
        <f t="shared" si="162"/>
        <v>151.19999999999999</v>
      </c>
      <c r="BA321">
        <f t="shared" si="163"/>
        <v>156.69999999999999</v>
      </c>
      <c r="BB321">
        <f t="shared" si="164"/>
        <v>160.80000000000001</v>
      </c>
      <c r="BC321">
        <f t="shared" si="165"/>
        <v>161.80000000000001</v>
      </c>
      <c r="BD321">
        <f t="shared" si="166"/>
        <v>157.30000000000001</v>
      </c>
      <c r="BE321">
        <f t="shared" si="167"/>
        <v>165.6</v>
      </c>
      <c r="BF321">
        <f t="shared" si="168"/>
        <v>2217.8999999999996</v>
      </c>
      <c r="BG321">
        <f t="shared" si="169"/>
        <v>467.3</v>
      </c>
      <c r="BH321">
        <f t="shared" si="170"/>
        <v>326</v>
      </c>
      <c r="BI321">
        <f t="shared" si="171"/>
        <v>480.2</v>
      </c>
      <c r="BJ321">
        <f t="shared" si="172"/>
        <v>511</v>
      </c>
      <c r="BK321">
        <f t="shared" si="173"/>
        <v>312.79999999999995</v>
      </c>
    </row>
    <row r="322" spans="1:63" x14ac:dyDescent="0.35">
      <c r="A322" t="s">
        <v>34</v>
      </c>
      <c r="B322">
        <v>2021</v>
      </c>
      <c r="C322" t="s">
        <v>45</v>
      </c>
      <c r="D322">
        <v>148.19999999999999</v>
      </c>
      <c r="E322">
        <v>201.6</v>
      </c>
      <c r="F322">
        <v>173</v>
      </c>
      <c r="G322">
        <v>159.30000000000001</v>
      </c>
      <c r="H322">
        <v>190.1</v>
      </c>
      <c r="I322">
        <v>156.5</v>
      </c>
      <c r="J322">
        <v>199.2</v>
      </c>
      <c r="K322">
        <v>165.3</v>
      </c>
      <c r="L322">
        <v>122.4</v>
      </c>
      <c r="M322">
        <v>169.6</v>
      </c>
      <c r="N322">
        <v>163.69999999999999</v>
      </c>
      <c r="O322">
        <v>175.5</v>
      </c>
      <c r="P322">
        <v>169.7</v>
      </c>
      <c r="Q322">
        <v>192.9</v>
      </c>
      <c r="R322">
        <v>167.2</v>
      </c>
      <c r="S322">
        <v>157.4</v>
      </c>
      <c r="T322">
        <v>165.8</v>
      </c>
      <c r="U322">
        <v>164.2</v>
      </c>
      <c r="V322">
        <v>163.9</v>
      </c>
      <c r="W322">
        <v>159.30000000000001</v>
      </c>
      <c r="X322">
        <v>169.9</v>
      </c>
      <c r="Y322">
        <v>154.80000000000001</v>
      </c>
      <c r="Z322">
        <v>159.80000000000001</v>
      </c>
      <c r="AA322">
        <v>164.3</v>
      </c>
      <c r="AB322">
        <v>162.19999999999999</v>
      </c>
      <c r="AC322">
        <v>161.4</v>
      </c>
      <c r="AD322">
        <v>166.7</v>
      </c>
      <c r="AE322">
        <f t="shared" si="141"/>
        <v>148.19999999999999</v>
      </c>
      <c r="AF322">
        <f t="shared" si="142"/>
        <v>201.6</v>
      </c>
      <c r="AG322">
        <f t="shared" si="143"/>
        <v>173</v>
      </c>
      <c r="AH322">
        <f t="shared" si="144"/>
        <v>159.30000000000001</v>
      </c>
      <c r="AI322">
        <f t="shared" si="145"/>
        <v>190.1</v>
      </c>
      <c r="AJ322">
        <f t="shared" si="146"/>
        <v>156.5</v>
      </c>
      <c r="AK322">
        <f t="shared" si="147"/>
        <v>199.2</v>
      </c>
      <c r="AL322">
        <f t="shared" si="148"/>
        <v>165.3</v>
      </c>
      <c r="AM322">
        <f t="shared" si="149"/>
        <v>122.4</v>
      </c>
      <c r="AN322">
        <f t="shared" si="150"/>
        <v>169.6</v>
      </c>
      <c r="AO322">
        <f t="shared" si="151"/>
        <v>163.69999999999999</v>
      </c>
      <c r="AP322">
        <f t="shared" si="152"/>
        <v>175.5</v>
      </c>
      <c r="AQ322">
        <f t="shared" si="153"/>
        <v>169.7</v>
      </c>
      <c r="AR322">
        <f t="shared" si="154"/>
        <v>192.9</v>
      </c>
      <c r="AS322">
        <f t="shared" si="155"/>
        <v>167.2</v>
      </c>
      <c r="AT322">
        <f t="shared" si="156"/>
        <v>157.4</v>
      </c>
      <c r="AU322">
        <f t="shared" si="157"/>
        <v>165.8</v>
      </c>
      <c r="AV322">
        <f t="shared" si="158"/>
        <v>164.2</v>
      </c>
      <c r="AW322">
        <f t="shared" si="159"/>
        <v>163.9</v>
      </c>
      <c r="AX322">
        <f t="shared" si="160"/>
        <v>159.30000000000001</v>
      </c>
      <c r="AY322">
        <f t="shared" si="161"/>
        <v>169.9</v>
      </c>
      <c r="AZ322">
        <f t="shared" si="162"/>
        <v>154.80000000000001</v>
      </c>
      <c r="BA322">
        <f t="shared" si="163"/>
        <v>159.80000000000001</v>
      </c>
      <c r="BB322">
        <f t="shared" si="164"/>
        <v>164.3</v>
      </c>
      <c r="BC322">
        <f t="shared" si="165"/>
        <v>162.19999999999999</v>
      </c>
      <c r="BD322">
        <f t="shared" si="166"/>
        <v>161.4</v>
      </c>
      <c r="BE322">
        <f t="shared" si="167"/>
        <v>166.7</v>
      </c>
      <c r="BF322">
        <f t="shared" si="168"/>
        <v>2194.1</v>
      </c>
      <c r="BG322">
        <f t="shared" si="169"/>
        <v>490.40000000000003</v>
      </c>
      <c r="BH322">
        <f t="shared" si="170"/>
        <v>332.1</v>
      </c>
      <c r="BI322">
        <f t="shared" si="171"/>
        <v>487.8</v>
      </c>
      <c r="BJ322">
        <f t="shared" si="172"/>
        <v>514.1</v>
      </c>
      <c r="BK322">
        <f t="shared" si="173"/>
        <v>318.70000000000005</v>
      </c>
    </row>
    <row r="323" spans="1:63" x14ac:dyDescent="0.35">
      <c r="A323" t="s">
        <v>30</v>
      </c>
      <c r="B323">
        <v>2021</v>
      </c>
      <c r="C323" t="s">
        <v>46</v>
      </c>
      <c r="D323">
        <v>147.4</v>
      </c>
      <c r="E323">
        <v>197</v>
      </c>
      <c r="F323">
        <v>176.5</v>
      </c>
      <c r="G323">
        <v>159.80000000000001</v>
      </c>
      <c r="H323">
        <v>195.8</v>
      </c>
      <c r="I323">
        <v>152</v>
      </c>
      <c r="J323">
        <v>172.3</v>
      </c>
      <c r="K323">
        <v>164.5</v>
      </c>
      <c r="L323">
        <v>120.6</v>
      </c>
      <c r="M323">
        <v>171.7</v>
      </c>
      <c r="N323">
        <v>169.7</v>
      </c>
      <c r="O323">
        <v>175.1</v>
      </c>
      <c r="P323">
        <v>165.8</v>
      </c>
      <c r="Q323">
        <v>190.8</v>
      </c>
      <c r="R323">
        <v>171.8</v>
      </c>
      <c r="S323">
        <v>167.3</v>
      </c>
      <c r="T323">
        <v>171.2</v>
      </c>
      <c r="U323" t="s">
        <v>32</v>
      </c>
      <c r="V323">
        <v>165.6</v>
      </c>
      <c r="W323">
        <v>163.9</v>
      </c>
      <c r="X323">
        <v>174</v>
      </c>
      <c r="Y323">
        <v>160.1</v>
      </c>
      <c r="Z323">
        <v>164.5</v>
      </c>
      <c r="AA323">
        <v>169.7</v>
      </c>
      <c r="AB323">
        <v>162.80000000000001</v>
      </c>
      <c r="AC323">
        <v>166</v>
      </c>
      <c r="AD323">
        <v>167</v>
      </c>
      <c r="AE323">
        <f t="shared" si="141"/>
        <v>147.4</v>
      </c>
      <c r="AF323">
        <f t="shared" si="142"/>
        <v>197</v>
      </c>
      <c r="AG323">
        <f t="shared" si="143"/>
        <v>176.5</v>
      </c>
      <c r="AH323">
        <f t="shared" si="144"/>
        <v>159.80000000000001</v>
      </c>
      <c r="AI323">
        <f t="shared" si="145"/>
        <v>195.8</v>
      </c>
      <c r="AJ323">
        <f t="shared" si="146"/>
        <v>152</v>
      </c>
      <c r="AK323">
        <f t="shared" si="147"/>
        <v>172.3</v>
      </c>
      <c r="AL323">
        <f t="shared" si="148"/>
        <v>164.5</v>
      </c>
      <c r="AM323">
        <f t="shared" si="149"/>
        <v>120.6</v>
      </c>
      <c r="AN323">
        <f t="shared" si="150"/>
        <v>171.7</v>
      </c>
      <c r="AO323">
        <f t="shared" si="151"/>
        <v>169.7</v>
      </c>
      <c r="AP323">
        <f t="shared" si="152"/>
        <v>175.1</v>
      </c>
      <c r="AQ323">
        <f t="shared" si="153"/>
        <v>165.8</v>
      </c>
      <c r="AR323">
        <f t="shared" si="154"/>
        <v>190.8</v>
      </c>
      <c r="AS323">
        <f t="shared" si="155"/>
        <v>171.8</v>
      </c>
      <c r="AT323">
        <f t="shared" si="156"/>
        <v>167.3</v>
      </c>
      <c r="AU323">
        <f t="shared" si="157"/>
        <v>171.2</v>
      </c>
      <c r="AV323">
        <f t="shared" si="158"/>
        <v>163.4</v>
      </c>
      <c r="AW323">
        <f t="shared" si="159"/>
        <v>165.6</v>
      </c>
      <c r="AX323">
        <f t="shared" si="160"/>
        <v>163.9</v>
      </c>
      <c r="AY323">
        <f t="shared" si="161"/>
        <v>174</v>
      </c>
      <c r="AZ323">
        <f t="shared" si="162"/>
        <v>160.1</v>
      </c>
      <c r="BA323">
        <f t="shared" si="163"/>
        <v>164.5</v>
      </c>
      <c r="BB323">
        <f t="shared" si="164"/>
        <v>169.7</v>
      </c>
      <c r="BC323">
        <f t="shared" si="165"/>
        <v>162.80000000000001</v>
      </c>
      <c r="BD323">
        <f t="shared" si="166"/>
        <v>166</v>
      </c>
      <c r="BE323">
        <f t="shared" si="167"/>
        <v>167</v>
      </c>
      <c r="BF323">
        <f t="shared" si="168"/>
        <v>2168.1999999999998</v>
      </c>
      <c r="BG323">
        <f t="shared" si="169"/>
        <v>510.3</v>
      </c>
      <c r="BH323">
        <f t="shared" si="170"/>
        <v>336.8</v>
      </c>
      <c r="BI323">
        <f t="shared" si="171"/>
        <v>497</v>
      </c>
      <c r="BJ323">
        <f t="shared" si="172"/>
        <v>521.29999999999995</v>
      </c>
      <c r="BK323">
        <f t="shared" si="173"/>
        <v>325.7</v>
      </c>
    </row>
    <row r="324" spans="1:63" x14ac:dyDescent="0.35">
      <c r="A324" t="s">
        <v>33</v>
      </c>
      <c r="B324">
        <v>2021</v>
      </c>
      <c r="C324" t="s">
        <v>46</v>
      </c>
      <c r="D324">
        <v>151.6</v>
      </c>
      <c r="E324">
        <v>202.2</v>
      </c>
      <c r="F324">
        <v>180</v>
      </c>
      <c r="G324">
        <v>160</v>
      </c>
      <c r="H324">
        <v>173.5</v>
      </c>
      <c r="I324">
        <v>158.30000000000001</v>
      </c>
      <c r="J324">
        <v>219.5</v>
      </c>
      <c r="K324">
        <v>164.2</v>
      </c>
      <c r="L324">
        <v>121.9</v>
      </c>
      <c r="M324">
        <v>168.2</v>
      </c>
      <c r="N324">
        <v>156.5</v>
      </c>
      <c r="O324">
        <v>178.2</v>
      </c>
      <c r="P324">
        <v>172.2</v>
      </c>
      <c r="Q324">
        <v>196.8</v>
      </c>
      <c r="R324">
        <v>163.30000000000001</v>
      </c>
      <c r="S324">
        <v>146.69999999999999</v>
      </c>
      <c r="T324">
        <v>160.69999999999999</v>
      </c>
      <c r="U324">
        <v>163.4</v>
      </c>
      <c r="V324">
        <v>161.69999999999999</v>
      </c>
      <c r="W324">
        <v>156</v>
      </c>
      <c r="X324">
        <v>165.1</v>
      </c>
      <c r="Y324">
        <v>151.80000000000001</v>
      </c>
      <c r="Z324">
        <v>157.6</v>
      </c>
      <c r="AA324">
        <v>160.6</v>
      </c>
      <c r="AB324">
        <v>162.4</v>
      </c>
      <c r="AC324">
        <v>157.80000000000001</v>
      </c>
      <c r="AD324">
        <v>165.2</v>
      </c>
      <c r="AE324">
        <f t="shared" si="141"/>
        <v>151.6</v>
      </c>
      <c r="AF324">
        <f t="shared" si="142"/>
        <v>202.2</v>
      </c>
      <c r="AG324">
        <f t="shared" si="143"/>
        <v>180</v>
      </c>
      <c r="AH324">
        <f t="shared" si="144"/>
        <v>160</v>
      </c>
      <c r="AI324">
        <f t="shared" si="145"/>
        <v>173.5</v>
      </c>
      <c r="AJ324">
        <f t="shared" si="146"/>
        <v>158.30000000000001</v>
      </c>
      <c r="AK324">
        <f t="shared" si="147"/>
        <v>219.5</v>
      </c>
      <c r="AL324">
        <f t="shared" si="148"/>
        <v>164.2</v>
      </c>
      <c r="AM324">
        <f t="shared" si="149"/>
        <v>121.9</v>
      </c>
      <c r="AN324">
        <f t="shared" si="150"/>
        <v>168.2</v>
      </c>
      <c r="AO324">
        <f t="shared" si="151"/>
        <v>156.5</v>
      </c>
      <c r="AP324">
        <f t="shared" si="152"/>
        <v>178.2</v>
      </c>
      <c r="AQ324">
        <f t="shared" si="153"/>
        <v>172.2</v>
      </c>
      <c r="AR324">
        <f t="shared" si="154"/>
        <v>196.8</v>
      </c>
      <c r="AS324">
        <f t="shared" si="155"/>
        <v>163.30000000000001</v>
      </c>
      <c r="AT324">
        <f t="shared" si="156"/>
        <v>146.69999999999999</v>
      </c>
      <c r="AU324">
        <f t="shared" si="157"/>
        <v>160.69999999999999</v>
      </c>
      <c r="AV324">
        <f t="shared" si="158"/>
        <v>163.4</v>
      </c>
      <c r="AW324">
        <f t="shared" si="159"/>
        <v>161.69999999999999</v>
      </c>
      <c r="AX324">
        <f t="shared" si="160"/>
        <v>156</v>
      </c>
      <c r="AY324">
        <f t="shared" si="161"/>
        <v>165.1</v>
      </c>
      <c r="AZ324">
        <f t="shared" si="162"/>
        <v>151.80000000000001</v>
      </c>
      <c r="BA324">
        <f t="shared" si="163"/>
        <v>157.6</v>
      </c>
      <c r="BB324">
        <f t="shared" si="164"/>
        <v>160.6</v>
      </c>
      <c r="BC324">
        <f t="shared" si="165"/>
        <v>162.4</v>
      </c>
      <c r="BD324">
        <f t="shared" si="166"/>
        <v>157.80000000000001</v>
      </c>
      <c r="BE324">
        <f t="shared" si="167"/>
        <v>165.2</v>
      </c>
      <c r="BF324">
        <f t="shared" si="168"/>
        <v>2206.3000000000002</v>
      </c>
      <c r="BG324">
        <f t="shared" si="169"/>
        <v>470.7</v>
      </c>
      <c r="BH324">
        <f t="shared" si="170"/>
        <v>327.5</v>
      </c>
      <c r="BI324">
        <f t="shared" si="171"/>
        <v>480</v>
      </c>
      <c r="BJ324">
        <f t="shared" si="172"/>
        <v>512.20000000000005</v>
      </c>
      <c r="BK324">
        <f t="shared" si="173"/>
        <v>313.5</v>
      </c>
    </row>
    <row r="325" spans="1:63" x14ac:dyDescent="0.35">
      <c r="A325" t="s">
        <v>34</v>
      </c>
      <c r="B325">
        <v>2021</v>
      </c>
      <c r="C325" t="s">
        <v>46</v>
      </c>
      <c r="D325">
        <v>148.69999999999999</v>
      </c>
      <c r="E325">
        <v>198.8</v>
      </c>
      <c r="F325">
        <v>177.9</v>
      </c>
      <c r="G325">
        <v>159.9</v>
      </c>
      <c r="H325">
        <v>187.6</v>
      </c>
      <c r="I325">
        <v>154.9</v>
      </c>
      <c r="J325">
        <v>188.3</v>
      </c>
      <c r="K325">
        <v>164.4</v>
      </c>
      <c r="L325">
        <v>121</v>
      </c>
      <c r="M325">
        <v>170.5</v>
      </c>
      <c r="N325">
        <v>164.2</v>
      </c>
      <c r="O325">
        <v>176.5</v>
      </c>
      <c r="P325">
        <v>168.2</v>
      </c>
      <c r="Q325">
        <v>192.4</v>
      </c>
      <c r="R325">
        <v>168.5</v>
      </c>
      <c r="S325">
        <v>158.69999999999999</v>
      </c>
      <c r="T325">
        <v>167</v>
      </c>
      <c r="U325">
        <v>163.4</v>
      </c>
      <c r="V325">
        <v>164.1</v>
      </c>
      <c r="W325">
        <v>160.19999999999999</v>
      </c>
      <c r="X325">
        <v>170.6</v>
      </c>
      <c r="Y325">
        <v>155.69999999999999</v>
      </c>
      <c r="Z325">
        <v>160.6</v>
      </c>
      <c r="AA325">
        <v>164.4</v>
      </c>
      <c r="AB325">
        <v>162.6</v>
      </c>
      <c r="AC325">
        <v>162</v>
      </c>
      <c r="AD325">
        <v>166.2</v>
      </c>
      <c r="AE325">
        <f t="shared" si="141"/>
        <v>148.69999999999999</v>
      </c>
      <c r="AF325">
        <f t="shared" si="142"/>
        <v>198.8</v>
      </c>
      <c r="AG325">
        <f t="shared" si="143"/>
        <v>177.9</v>
      </c>
      <c r="AH325">
        <f t="shared" si="144"/>
        <v>159.9</v>
      </c>
      <c r="AI325">
        <f t="shared" si="145"/>
        <v>187.6</v>
      </c>
      <c r="AJ325">
        <f t="shared" si="146"/>
        <v>154.9</v>
      </c>
      <c r="AK325">
        <f t="shared" si="147"/>
        <v>188.3</v>
      </c>
      <c r="AL325">
        <f t="shared" si="148"/>
        <v>164.4</v>
      </c>
      <c r="AM325">
        <f t="shared" si="149"/>
        <v>121</v>
      </c>
      <c r="AN325">
        <f t="shared" si="150"/>
        <v>170.5</v>
      </c>
      <c r="AO325">
        <f t="shared" si="151"/>
        <v>164.2</v>
      </c>
      <c r="AP325">
        <f t="shared" si="152"/>
        <v>176.5</v>
      </c>
      <c r="AQ325">
        <f t="shared" si="153"/>
        <v>168.2</v>
      </c>
      <c r="AR325">
        <f t="shared" si="154"/>
        <v>192.4</v>
      </c>
      <c r="AS325">
        <f t="shared" si="155"/>
        <v>168.5</v>
      </c>
      <c r="AT325">
        <f t="shared" si="156"/>
        <v>158.69999999999999</v>
      </c>
      <c r="AU325">
        <f t="shared" si="157"/>
        <v>167</v>
      </c>
      <c r="AV325">
        <f t="shared" si="158"/>
        <v>163.4</v>
      </c>
      <c r="AW325">
        <f t="shared" si="159"/>
        <v>164.1</v>
      </c>
      <c r="AX325">
        <f t="shared" si="160"/>
        <v>160.19999999999999</v>
      </c>
      <c r="AY325">
        <f t="shared" si="161"/>
        <v>170.6</v>
      </c>
      <c r="AZ325">
        <f t="shared" si="162"/>
        <v>155.69999999999999</v>
      </c>
      <c r="BA325">
        <f t="shared" si="163"/>
        <v>160.6</v>
      </c>
      <c r="BB325">
        <f t="shared" si="164"/>
        <v>164.4</v>
      </c>
      <c r="BC325">
        <f t="shared" si="165"/>
        <v>162.6</v>
      </c>
      <c r="BD325">
        <f t="shared" si="166"/>
        <v>162</v>
      </c>
      <c r="BE325">
        <f t="shared" si="167"/>
        <v>166.2</v>
      </c>
      <c r="BF325">
        <f t="shared" si="168"/>
        <v>2180.9</v>
      </c>
      <c r="BG325">
        <f t="shared" si="169"/>
        <v>494.2</v>
      </c>
      <c r="BH325">
        <f t="shared" si="170"/>
        <v>333.2</v>
      </c>
      <c r="BI325">
        <f t="shared" si="171"/>
        <v>488</v>
      </c>
      <c r="BJ325">
        <f t="shared" si="172"/>
        <v>515</v>
      </c>
      <c r="BK325">
        <f t="shared" si="173"/>
        <v>319.79999999999995</v>
      </c>
    </row>
    <row r="326" spans="1:63" x14ac:dyDescent="0.35">
      <c r="A326" t="s">
        <v>30</v>
      </c>
      <c r="B326">
        <v>2022</v>
      </c>
      <c r="C326" t="s">
        <v>31</v>
      </c>
      <c r="D326">
        <v>148.30000000000001</v>
      </c>
      <c r="E326">
        <v>196.9</v>
      </c>
      <c r="F326">
        <v>178</v>
      </c>
      <c r="G326">
        <v>160.5</v>
      </c>
      <c r="H326">
        <v>192.6</v>
      </c>
      <c r="I326">
        <v>151.19999999999999</v>
      </c>
      <c r="J326">
        <v>159.19999999999999</v>
      </c>
      <c r="K326">
        <v>164</v>
      </c>
      <c r="L326">
        <v>119.3</v>
      </c>
      <c r="M326">
        <v>173.3</v>
      </c>
      <c r="N326">
        <v>169.8</v>
      </c>
      <c r="O326">
        <v>175.8</v>
      </c>
      <c r="P326">
        <v>164.1</v>
      </c>
      <c r="Q326">
        <v>190.7</v>
      </c>
      <c r="R326">
        <v>173.2</v>
      </c>
      <c r="S326">
        <v>169.3</v>
      </c>
      <c r="T326">
        <v>172.7</v>
      </c>
      <c r="U326" t="s">
        <v>32</v>
      </c>
      <c r="V326">
        <v>165.8</v>
      </c>
      <c r="W326">
        <v>164.9</v>
      </c>
      <c r="X326">
        <v>174.7</v>
      </c>
      <c r="Y326">
        <v>160.80000000000001</v>
      </c>
      <c r="Z326">
        <v>164.9</v>
      </c>
      <c r="AA326">
        <v>169.9</v>
      </c>
      <c r="AB326">
        <v>163.19999999999999</v>
      </c>
      <c r="AC326">
        <v>166.6</v>
      </c>
      <c r="AD326">
        <v>166.4</v>
      </c>
      <c r="AE326">
        <f t="shared" ref="AE326:AE376" si="212">D326</f>
        <v>148.30000000000001</v>
      </c>
      <c r="AF326">
        <f t="shared" ref="AF326:AF376" si="213">E326</f>
        <v>196.9</v>
      </c>
      <c r="AG326">
        <f t="shared" ref="AG326:AG376" si="214">F326</f>
        <v>178</v>
      </c>
      <c r="AH326">
        <f t="shared" ref="AH326:AH376" si="215">G326</f>
        <v>160.5</v>
      </c>
      <c r="AI326">
        <f t="shared" ref="AI326:AI376" si="216">H326</f>
        <v>192.6</v>
      </c>
      <c r="AJ326">
        <f t="shared" ref="AJ326:AJ376" si="217">I326</f>
        <v>151.19999999999999</v>
      </c>
      <c r="AK326">
        <f t="shared" ref="AK326:AK376" si="218">J326</f>
        <v>159.19999999999999</v>
      </c>
      <c r="AL326">
        <f t="shared" ref="AL326:AL376" si="219">K326</f>
        <v>164</v>
      </c>
      <c r="AM326">
        <f t="shared" ref="AM326:AM376" si="220">L326</f>
        <v>119.3</v>
      </c>
      <c r="AN326">
        <f t="shared" ref="AN326:AN376" si="221">M326</f>
        <v>173.3</v>
      </c>
      <c r="AO326">
        <f t="shared" ref="AO326:AO376" si="222">N326</f>
        <v>169.8</v>
      </c>
      <c r="AP326">
        <f t="shared" ref="AP326:AP376" si="223">O326</f>
        <v>175.8</v>
      </c>
      <c r="AQ326">
        <f t="shared" ref="AQ326:AQ376" si="224">P326</f>
        <v>164.1</v>
      </c>
      <c r="AR326">
        <f t="shared" ref="AR326:AR376" si="225">Q326</f>
        <v>190.7</v>
      </c>
      <c r="AS326">
        <f t="shared" ref="AS326:AS376" si="226">R326</f>
        <v>173.2</v>
      </c>
      <c r="AT326">
        <f t="shared" ref="AT326:AT376" si="227">S326</f>
        <v>169.3</v>
      </c>
      <c r="AU326">
        <f t="shared" ref="AU326:AU376" si="228">T326</f>
        <v>172.7</v>
      </c>
      <c r="AV326">
        <f t="shared" ref="AV326:AV376" si="229">IF(OR(U326="NA",U326="-"),AVERAGE(AV327:AV328),U326)</f>
        <v>164.5</v>
      </c>
      <c r="AW326">
        <f t="shared" ref="AW326:AW376" si="230">V326</f>
        <v>165.8</v>
      </c>
      <c r="AX326">
        <f t="shared" ref="AX326:AX376" si="231">W326</f>
        <v>164.9</v>
      </c>
      <c r="AY326">
        <f t="shared" ref="AY326:AY376" si="232">X326</f>
        <v>174.7</v>
      </c>
      <c r="AZ326">
        <f t="shared" ref="AZ326:AZ376" si="233">Y326</f>
        <v>160.80000000000001</v>
      </c>
      <c r="BA326">
        <f t="shared" ref="BA326:BA376" si="234">Z326</f>
        <v>164.9</v>
      </c>
      <c r="BB326">
        <f t="shared" ref="BB326:BB376" si="235">AA326</f>
        <v>169.9</v>
      </c>
      <c r="BC326">
        <f t="shared" ref="BC326:BC376" si="236">AB326</f>
        <v>163.19999999999999</v>
      </c>
      <c r="BD326">
        <f t="shared" ref="BD326:BD376" si="237">AC326</f>
        <v>166.6</v>
      </c>
      <c r="BE326">
        <f t="shared" ref="BE326:BE376" si="238">AD326</f>
        <v>166.4</v>
      </c>
      <c r="BF326">
        <f t="shared" ref="BF326:BF376" si="239">SUM(AE326:AQ326)</f>
        <v>2153</v>
      </c>
      <c r="BG326">
        <f t="shared" ref="BG326:BG376" si="240">SUM(AS326:AU326)</f>
        <v>515.20000000000005</v>
      </c>
      <c r="BH326">
        <f t="shared" ref="BH326:BH376" si="241">SUM(AY326+BC326)</f>
        <v>337.9</v>
      </c>
      <c r="BI326">
        <f t="shared" ref="BI326:BI376" si="242">BB326+AX326+AV326</f>
        <v>499.3</v>
      </c>
      <c r="BJ326">
        <f t="shared" ref="BJ326:BJ376" si="243">SUM(AR326+BA326+BD326)</f>
        <v>522.20000000000005</v>
      </c>
      <c r="BK326">
        <f t="shared" ref="BK326:BK376" si="244">AZ326+AW326</f>
        <v>326.60000000000002</v>
      </c>
    </row>
    <row r="327" spans="1:63" x14ac:dyDescent="0.35">
      <c r="A327" t="s">
        <v>33</v>
      </c>
      <c r="B327">
        <v>2022</v>
      </c>
      <c r="C327" t="s">
        <v>31</v>
      </c>
      <c r="D327">
        <v>152.19999999999999</v>
      </c>
      <c r="E327">
        <v>202.1</v>
      </c>
      <c r="F327">
        <v>180.1</v>
      </c>
      <c r="G327">
        <v>160.4</v>
      </c>
      <c r="H327">
        <v>171</v>
      </c>
      <c r="I327">
        <v>156.5</v>
      </c>
      <c r="J327">
        <v>203.6</v>
      </c>
      <c r="K327">
        <v>163.80000000000001</v>
      </c>
      <c r="L327">
        <v>121.3</v>
      </c>
      <c r="M327">
        <v>169.8</v>
      </c>
      <c r="N327">
        <v>156.6</v>
      </c>
      <c r="O327">
        <v>179</v>
      </c>
      <c r="P327">
        <v>170.3</v>
      </c>
      <c r="Q327">
        <v>196.4</v>
      </c>
      <c r="R327">
        <v>164.7</v>
      </c>
      <c r="S327">
        <v>148.5</v>
      </c>
      <c r="T327">
        <v>162.19999999999999</v>
      </c>
      <c r="U327">
        <v>164.5</v>
      </c>
      <c r="V327">
        <v>161.6</v>
      </c>
      <c r="W327">
        <v>156.80000000000001</v>
      </c>
      <c r="X327">
        <v>166.1</v>
      </c>
      <c r="Y327">
        <v>152.69999999999999</v>
      </c>
      <c r="Z327">
        <v>158.4</v>
      </c>
      <c r="AA327">
        <v>161</v>
      </c>
      <c r="AB327">
        <v>162.80000000000001</v>
      </c>
      <c r="AC327">
        <v>158.6</v>
      </c>
      <c r="AD327">
        <v>165</v>
      </c>
      <c r="AE327">
        <f t="shared" si="212"/>
        <v>152.19999999999999</v>
      </c>
      <c r="AF327">
        <f t="shared" si="213"/>
        <v>202.1</v>
      </c>
      <c r="AG327">
        <f t="shared" si="214"/>
        <v>180.1</v>
      </c>
      <c r="AH327">
        <f t="shared" si="215"/>
        <v>160.4</v>
      </c>
      <c r="AI327">
        <f t="shared" si="216"/>
        <v>171</v>
      </c>
      <c r="AJ327">
        <f t="shared" si="217"/>
        <v>156.5</v>
      </c>
      <c r="AK327">
        <f t="shared" si="218"/>
        <v>203.6</v>
      </c>
      <c r="AL327">
        <f t="shared" si="219"/>
        <v>163.80000000000001</v>
      </c>
      <c r="AM327">
        <f t="shared" si="220"/>
        <v>121.3</v>
      </c>
      <c r="AN327">
        <f t="shared" si="221"/>
        <v>169.8</v>
      </c>
      <c r="AO327">
        <f t="shared" si="222"/>
        <v>156.6</v>
      </c>
      <c r="AP327">
        <f t="shared" si="223"/>
        <v>179</v>
      </c>
      <c r="AQ327">
        <f t="shared" si="224"/>
        <v>170.3</v>
      </c>
      <c r="AR327">
        <f t="shared" si="225"/>
        <v>196.4</v>
      </c>
      <c r="AS327">
        <f t="shared" si="226"/>
        <v>164.7</v>
      </c>
      <c r="AT327">
        <f t="shared" si="227"/>
        <v>148.5</v>
      </c>
      <c r="AU327">
        <f t="shared" si="228"/>
        <v>162.19999999999999</v>
      </c>
      <c r="AV327">
        <f t="shared" si="229"/>
        <v>164.5</v>
      </c>
      <c r="AW327">
        <f t="shared" si="230"/>
        <v>161.6</v>
      </c>
      <c r="AX327">
        <f t="shared" si="231"/>
        <v>156.80000000000001</v>
      </c>
      <c r="AY327">
        <f t="shared" si="232"/>
        <v>166.1</v>
      </c>
      <c r="AZ327">
        <f t="shared" si="233"/>
        <v>152.69999999999999</v>
      </c>
      <c r="BA327">
        <f t="shared" si="234"/>
        <v>158.4</v>
      </c>
      <c r="BB327">
        <f t="shared" si="235"/>
        <v>161</v>
      </c>
      <c r="BC327">
        <f t="shared" si="236"/>
        <v>162.80000000000001</v>
      </c>
      <c r="BD327">
        <f t="shared" si="237"/>
        <v>158.6</v>
      </c>
      <c r="BE327">
        <f t="shared" si="238"/>
        <v>165</v>
      </c>
      <c r="BF327">
        <f t="shared" si="239"/>
        <v>2186.6999999999998</v>
      </c>
      <c r="BG327">
        <f t="shared" si="240"/>
        <v>475.4</v>
      </c>
      <c r="BH327">
        <f t="shared" si="241"/>
        <v>328.9</v>
      </c>
      <c r="BI327">
        <f t="shared" si="242"/>
        <v>482.3</v>
      </c>
      <c r="BJ327">
        <f t="shared" si="243"/>
        <v>513.4</v>
      </c>
      <c r="BK327">
        <f t="shared" si="244"/>
        <v>314.29999999999995</v>
      </c>
    </row>
    <row r="328" spans="1:63" x14ac:dyDescent="0.35">
      <c r="A328" t="s">
        <v>34</v>
      </c>
      <c r="B328">
        <v>2022</v>
      </c>
      <c r="C328" t="s">
        <v>31</v>
      </c>
      <c r="D328">
        <v>149.5</v>
      </c>
      <c r="E328">
        <v>198.7</v>
      </c>
      <c r="F328">
        <v>178.8</v>
      </c>
      <c r="G328">
        <v>160.5</v>
      </c>
      <c r="H328">
        <v>184.7</v>
      </c>
      <c r="I328">
        <v>153.69999999999999</v>
      </c>
      <c r="J328">
        <v>174.3</v>
      </c>
      <c r="K328">
        <v>163.9</v>
      </c>
      <c r="L328">
        <v>120</v>
      </c>
      <c r="M328">
        <v>172.1</v>
      </c>
      <c r="N328">
        <v>164.3</v>
      </c>
      <c r="O328">
        <v>177.3</v>
      </c>
      <c r="P328">
        <v>166.4</v>
      </c>
      <c r="Q328">
        <v>192.2</v>
      </c>
      <c r="R328">
        <v>169.9</v>
      </c>
      <c r="S328">
        <v>160.69999999999999</v>
      </c>
      <c r="T328">
        <v>168.5</v>
      </c>
      <c r="U328">
        <v>164.5</v>
      </c>
      <c r="V328">
        <v>164.2</v>
      </c>
      <c r="W328">
        <v>161.1</v>
      </c>
      <c r="X328">
        <v>171.4</v>
      </c>
      <c r="Y328">
        <v>156.5</v>
      </c>
      <c r="Z328">
        <v>161.19999999999999</v>
      </c>
      <c r="AA328">
        <v>164.7</v>
      </c>
      <c r="AB328">
        <v>163</v>
      </c>
      <c r="AC328">
        <v>162.69999999999999</v>
      </c>
      <c r="AD328">
        <v>165.7</v>
      </c>
      <c r="AE328">
        <f t="shared" si="212"/>
        <v>149.5</v>
      </c>
      <c r="AF328">
        <f t="shared" si="213"/>
        <v>198.7</v>
      </c>
      <c r="AG328">
        <f t="shared" si="214"/>
        <v>178.8</v>
      </c>
      <c r="AH328">
        <f t="shared" si="215"/>
        <v>160.5</v>
      </c>
      <c r="AI328">
        <f t="shared" si="216"/>
        <v>184.7</v>
      </c>
      <c r="AJ328">
        <f t="shared" si="217"/>
        <v>153.69999999999999</v>
      </c>
      <c r="AK328">
        <f t="shared" si="218"/>
        <v>174.3</v>
      </c>
      <c r="AL328">
        <f t="shared" si="219"/>
        <v>163.9</v>
      </c>
      <c r="AM328">
        <f t="shared" si="220"/>
        <v>120</v>
      </c>
      <c r="AN328">
        <f t="shared" si="221"/>
        <v>172.1</v>
      </c>
      <c r="AO328">
        <f t="shared" si="222"/>
        <v>164.3</v>
      </c>
      <c r="AP328">
        <f t="shared" si="223"/>
        <v>177.3</v>
      </c>
      <c r="AQ328">
        <f t="shared" si="224"/>
        <v>166.4</v>
      </c>
      <c r="AR328">
        <f t="shared" si="225"/>
        <v>192.2</v>
      </c>
      <c r="AS328">
        <f t="shared" si="226"/>
        <v>169.9</v>
      </c>
      <c r="AT328">
        <f t="shared" si="227"/>
        <v>160.69999999999999</v>
      </c>
      <c r="AU328">
        <f t="shared" si="228"/>
        <v>168.5</v>
      </c>
      <c r="AV328">
        <f t="shared" si="229"/>
        <v>164.5</v>
      </c>
      <c r="AW328">
        <f t="shared" si="230"/>
        <v>164.2</v>
      </c>
      <c r="AX328">
        <f t="shared" si="231"/>
        <v>161.1</v>
      </c>
      <c r="AY328">
        <f t="shared" si="232"/>
        <v>171.4</v>
      </c>
      <c r="AZ328">
        <f t="shared" si="233"/>
        <v>156.5</v>
      </c>
      <c r="BA328">
        <f t="shared" si="234"/>
        <v>161.19999999999999</v>
      </c>
      <c r="BB328">
        <f t="shared" si="235"/>
        <v>164.7</v>
      </c>
      <c r="BC328">
        <f t="shared" si="236"/>
        <v>163</v>
      </c>
      <c r="BD328">
        <f t="shared" si="237"/>
        <v>162.69999999999999</v>
      </c>
      <c r="BE328">
        <f t="shared" si="238"/>
        <v>165.7</v>
      </c>
      <c r="BF328">
        <f t="shared" si="239"/>
        <v>2164.1999999999998</v>
      </c>
      <c r="BG328">
        <f t="shared" si="240"/>
        <v>499.1</v>
      </c>
      <c r="BH328">
        <f t="shared" si="241"/>
        <v>334.4</v>
      </c>
      <c r="BI328">
        <f t="shared" si="242"/>
        <v>490.29999999999995</v>
      </c>
      <c r="BJ328">
        <f t="shared" si="243"/>
        <v>516.09999999999991</v>
      </c>
      <c r="BK328">
        <f t="shared" si="244"/>
        <v>320.7</v>
      </c>
    </row>
    <row r="329" spans="1:63" x14ac:dyDescent="0.35">
      <c r="A329" t="s">
        <v>30</v>
      </c>
      <c r="B329">
        <v>2022</v>
      </c>
      <c r="C329" t="s">
        <v>35</v>
      </c>
      <c r="D329">
        <v>148.80000000000001</v>
      </c>
      <c r="E329">
        <v>198.1</v>
      </c>
      <c r="F329">
        <v>175.5</v>
      </c>
      <c r="G329">
        <v>160.69999999999999</v>
      </c>
      <c r="H329">
        <v>192.6</v>
      </c>
      <c r="I329">
        <v>151.4</v>
      </c>
      <c r="J329">
        <v>155.19999999999999</v>
      </c>
      <c r="K329">
        <v>163.9</v>
      </c>
      <c r="L329">
        <v>118.1</v>
      </c>
      <c r="M329">
        <v>175.4</v>
      </c>
      <c r="N329">
        <v>170.5</v>
      </c>
      <c r="O329">
        <v>176.3</v>
      </c>
      <c r="P329">
        <v>163.9</v>
      </c>
      <c r="Q329">
        <v>191.5</v>
      </c>
      <c r="R329">
        <v>174.1</v>
      </c>
      <c r="S329">
        <v>171</v>
      </c>
      <c r="T329">
        <v>173.7</v>
      </c>
      <c r="U329" t="s">
        <v>32</v>
      </c>
      <c r="V329">
        <v>167.4</v>
      </c>
      <c r="W329">
        <v>165.7</v>
      </c>
      <c r="X329">
        <v>175.3</v>
      </c>
      <c r="Y329">
        <v>161.19999999999999</v>
      </c>
      <c r="Z329">
        <v>165.5</v>
      </c>
      <c r="AA329">
        <v>170.3</v>
      </c>
      <c r="AB329">
        <v>164.5</v>
      </c>
      <c r="AC329">
        <v>167.3</v>
      </c>
      <c r="AD329">
        <v>166.7</v>
      </c>
      <c r="AE329">
        <f t="shared" si="212"/>
        <v>148.80000000000001</v>
      </c>
      <c r="AF329">
        <f t="shared" si="213"/>
        <v>198.1</v>
      </c>
      <c r="AG329">
        <f t="shared" si="214"/>
        <v>175.5</v>
      </c>
      <c r="AH329">
        <f t="shared" si="215"/>
        <v>160.69999999999999</v>
      </c>
      <c r="AI329">
        <f t="shared" si="216"/>
        <v>192.6</v>
      </c>
      <c r="AJ329">
        <f t="shared" si="217"/>
        <v>151.4</v>
      </c>
      <c r="AK329">
        <f t="shared" si="218"/>
        <v>155.19999999999999</v>
      </c>
      <c r="AL329">
        <f t="shared" si="219"/>
        <v>163.9</v>
      </c>
      <c r="AM329">
        <f t="shared" si="220"/>
        <v>118.1</v>
      </c>
      <c r="AN329">
        <f t="shared" si="221"/>
        <v>175.4</v>
      </c>
      <c r="AO329">
        <f t="shared" si="222"/>
        <v>170.5</v>
      </c>
      <c r="AP329">
        <f t="shared" si="223"/>
        <v>176.3</v>
      </c>
      <c r="AQ329">
        <f t="shared" si="224"/>
        <v>163.9</v>
      </c>
      <c r="AR329">
        <f t="shared" si="225"/>
        <v>191.5</v>
      </c>
      <c r="AS329">
        <f t="shared" si="226"/>
        <v>174.1</v>
      </c>
      <c r="AT329">
        <f t="shared" si="227"/>
        <v>171</v>
      </c>
      <c r="AU329">
        <f t="shared" si="228"/>
        <v>173.7</v>
      </c>
      <c r="AV329">
        <f t="shared" si="229"/>
        <v>165.5</v>
      </c>
      <c r="AW329">
        <f t="shared" si="230"/>
        <v>167.4</v>
      </c>
      <c r="AX329">
        <f t="shared" si="231"/>
        <v>165.7</v>
      </c>
      <c r="AY329">
        <f t="shared" si="232"/>
        <v>175.3</v>
      </c>
      <c r="AZ329">
        <f t="shared" si="233"/>
        <v>161.19999999999999</v>
      </c>
      <c r="BA329">
        <f t="shared" si="234"/>
        <v>165.5</v>
      </c>
      <c r="BB329">
        <f t="shared" si="235"/>
        <v>170.3</v>
      </c>
      <c r="BC329">
        <f t="shared" si="236"/>
        <v>164.5</v>
      </c>
      <c r="BD329">
        <f t="shared" si="237"/>
        <v>167.3</v>
      </c>
      <c r="BE329">
        <f t="shared" si="238"/>
        <v>166.7</v>
      </c>
      <c r="BF329">
        <f t="shared" si="239"/>
        <v>2150.4</v>
      </c>
      <c r="BG329">
        <f t="shared" si="240"/>
        <v>518.79999999999995</v>
      </c>
      <c r="BH329">
        <f t="shared" si="241"/>
        <v>339.8</v>
      </c>
      <c r="BI329">
        <f t="shared" si="242"/>
        <v>501.5</v>
      </c>
      <c r="BJ329">
        <f t="shared" si="243"/>
        <v>524.29999999999995</v>
      </c>
      <c r="BK329">
        <f t="shared" si="244"/>
        <v>328.6</v>
      </c>
    </row>
    <row r="330" spans="1:63" x14ac:dyDescent="0.35">
      <c r="A330" t="s">
        <v>33</v>
      </c>
      <c r="B330">
        <v>2022</v>
      </c>
      <c r="C330" t="s">
        <v>35</v>
      </c>
      <c r="D330">
        <v>152.5</v>
      </c>
      <c r="E330">
        <v>205.2</v>
      </c>
      <c r="F330">
        <v>176.4</v>
      </c>
      <c r="G330">
        <v>160.6</v>
      </c>
      <c r="H330">
        <v>171.5</v>
      </c>
      <c r="I330">
        <v>156.4</v>
      </c>
      <c r="J330">
        <v>198</v>
      </c>
      <c r="K330">
        <v>163.19999999999999</v>
      </c>
      <c r="L330">
        <v>120.6</v>
      </c>
      <c r="M330">
        <v>172.2</v>
      </c>
      <c r="N330">
        <v>156.69999999999999</v>
      </c>
      <c r="O330">
        <v>180</v>
      </c>
      <c r="P330">
        <v>170.2</v>
      </c>
      <c r="Q330">
        <v>196.5</v>
      </c>
      <c r="R330">
        <v>165.7</v>
      </c>
      <c r="S330">
        <v>150.4</v>
      </c>
      <c r="T330">
        <v>163.4</v>
      </c>
      <c r="U330">
        <v>165.5</v>
      </c>
      <c r="V330">
        <v>163</v>
      </c>
      <c r="W330">
        <v>157.4</v>
      </c>
      <c r="X330">
        <v>167.2</v>
      </c>
      <c r="Y330">
        <v>153.1</v>
      </c>
      <c r="Z330">
        <v>159.5</v>
      </c>
      <c r="AA330">
        <v>162</v>
      </c>
      <c r="AB330">
        <v>164.2</v>
      </c>
      <c r="AC330">
        <v>159.4</v>
      </c>
      <c r="AD330">
        <v>165.5</v>
      </c>
      <c r="AE330">
        <f t="shared" si="212"/>
        <v>152.5</v>
      </c>
      <c r="AF330">
        <f t="shared" si="213"/>
        <v>205.2</v>
      </c>
      <c r="AG330">
        <f t="shared" si="214"/>
        <v>176.4</v>
      </c>
      <c r="AH330">
        <f t="shared" si="215"/>
        <v>160.6</v>
      </c>
      <c r="AI330">
        <f t="shared" si="216"/>
        <v>171.5</v>
      </c>
      <c r="AJ330">
        <f t="shared" si="217"/>
        <v>156.4</v>
      </c>
      <c r="AK330">
        <f t="shared" si="218"/>
        <v>198</v>
      </c>
      <c r="AL330">
        <f t="shared" si="219"/>
        <v>163.19999999999999</v>
      </c>
      <c r="AM330">
        <f t="shared" si="220"/>
        <v>120.6</v>
      </c>
      <c r="AN330">
        <f t="shared" si="221"/>
        <v>172.2</v>
      </c>
      <c r="AO330">
        <f t="shared" si="222"/>
        <v>156.69999999999999</v>
      </c>
      <c r="AP330">
        <f t="shared" si="223"/>
        <v>180</v>
      </c>
      <c r="AQ330">
        <f t="shared" si="224"/>
        <v>170.2</v>
      </c>
      <c r="AR330">
        <f t="shared" si="225"/>
        <v>196.5</v>
      </c>
      <c r="AS330">
        <f t="shared" si="226"/>
        <v>165.7</v>
      </c>
      <c r="AT330">
        <f t="shared" si="227"/>
        <v>150.4</v>
      </c>
      <c r="AU330">
        <f t="shared" si="228"/>
        <v>163.4</v>
      </c>
      <c r="AV330">
        <f t="shared" si="229"/>
        <v>165.5</v>
      </c>
      <c r="AW330">
        <f t="shared" si="230"/>
        <v>163</v>
      </c>
      <c r="AX330">
        <f t="shared" si="231"/>
        <v>157.4</v>
      </c>
      <c r="AY330">
        <f t="shared" si="232"/>
        <v>167.2</v>
      </c>
      <c r="AZ330">
        <f t="shared" si="233"/>
        <v>153.1</v>
      </c>
      <c r="BA330">
        <f t="shared" si="234"/>
        <v>159.5</v>
      </c>
      <c r="BB330">
        <f t="shared" si="235"/>
        <v>162</v>
      </c>
      <c r="BC330">
        <f t="shared" si="236"/>
        <v>164.2</v>
      </c>
      <c r="BD330">
        <f t="shared" si="237"/>
        <v>159.4</v>
      </c>
      <c r="BE330">
        <f t="shared" si="238"/>
        <v>165.5</v>
      </c>
      <c r="BF330">
        <f t="shared" si="239"/>
        <v>2183.5</v>
      </c>
      <c r="BG330">
        <f t="shared" si="240"/>
        <v>479.5</v>
      </c>
      <c r="BH330">
        <f t="shared" si="241"/>
        <v>331.4</v>
      </c>
      <c r="BI330">
        <f t="shared" si="242"/>
        <v>484.9</v>
      </c>
      <c r="BJ330">
        <f t="shared" si="243"/>
        <v>515.4</v>
      </c>
      <c r="BK330">
        <f t="shared" si="244"/>
        <v>316.10000000000002</v>
      </c>
    </row>
    <row r="331" spans="1:63" x14ac:dyDescent="0.35">
      <c r="A331" t="s">
        <v>34</v>
      </c>
      <c r="B331">
        <v>2022</v>
      </c>
      <c r="C331" t="s">
        <v>35</v>
      </c>
      <c r="D331">
        <v>150</v>
      </c>
      <c r="E331">
        <v>200.6</v>
      </c>
      <c r="F331">
        <v>175.8</v>
      </c>
      <c r="G331">
        <v>160.69999999999999</v>
      </c>
      <c r="H331">
        <v>184.9</v>
      </c>
      <c r="I331">
        <v>153.69999999999999</v>
      </c>
      <c r="J331">
        <v>169.7</v>
      </c>
      <c r="K331">
        <v>163.69999999999999</v>
      </c>
      <c r="L331">
        <v>118.9</v>
      </c>
      <c r="M331">
        <v>174.3</v>
      </c>
      <c r="N331">
        <v>164.7</v>
      </c>
      <c r="O331">
        <v>178</v>
      </c>
      <c r="P331">
        <v>166.2</v>
      </c>
      <c r="Q331">
        <v>192.8</v>
      </c>
      <c r="R331">
        <v>170.8</v>
      </c>
      <c r="S331">
        <v>162.4</v>
      </c>
      <c r="T331">
        <v>169.6</v>
      </c>
      <c r="U331">
        <v>165.5</v>
      </c>
      <c r="V331">
        <v>165.7</v>
      </c>
      <c r="W331">
        <v>161.80000000000001</v>
      </c>
      <c r="X331">
        <v>172.2</v>
      </c>
      <c r="Y331">
        <v>156.9</v>
      </c>
      <c r="Z331">
        <v>162.1</v>
      </c>
      <c r="AA331">
        <v>165.4</v>
      </c>
      <c r="AB331">
        <v>164.4</v>
      </c>
      <c r="AC331">
        <v>163.5</v>
      </c>
      <c r="AD331">
        <v>166.1</v>
      </c>
      <c r="AE331">
        <f t="shared" si="212"/>
        <v>150</v>
      </c>
      <c r="AF331">
        <f t="shared" si="213"/>
        <v>200.6</v>
      </c>
      <c r="AG331">
        <f t="shared" si="214"/>
        <v>175.8</v>
      </c>
      <c r="AH331">
        <f t="shared" si="215"/>
        <v>160.69999999999999</v>
      </c>
      <c r="AI331">
        <f t="shared" si="216"/>
        <v>184.9</v>
      </c>
      <c r="AJ331">
        <f t="shared" si="217"/>
        <v>153.69999999999999</v>
      </c>
      <c r="AK331">
        <f t="shared" si="218"/>
        <v>169.7</v>
      </c>
      <c r="AL331">
        <f t="shared" si="219"/>
        <v>163.69999999999999</v>
      </c>
      <c r="AM331">
        <f t="shared" si="220"/>
        <v>118.9</v>
      </c>
      <c r="AN331">
        <f t="shared" si="221"/>
        <v>174.3</v>
      </c>
      <c r="AO331">
        <f t="shared" si="222"/>
        <v>164.7</v>
      </c>
      <c r="AP331">
        <f t="shared" si="223"/>
        <v>178</v>
      </c>
      <c r="AQ331">
        <f t="shared" si="224"/>
        <v>166.2</v>
      </c>
      <c r="AR331">
        <f t="shared" si="225"/>
        <v>192.8</v>
      </c>
      <c r="AS331">
        <f t="shared" si="226"/>
        <v>170.8</v>
      </c>
      <c r="AT331">
        <f t="shared" si="227"/>
        <v>162.4</v>
      </c>
      <c r="AU331">
        <f t="shared" si="228"/>
        <v>169.6</v>
      </c>
      <c r="AV331">
        <f t="shared" si="229"/>
        <v>165.5</v>
      </c>
      <c r="AW331">
        <f t="shared" si="230"/>
        <v>165.7</v>
      </c>
      <c r="AX331">
        <f t="shared" si="231"/>
        <v>161.80000000000001</v>
      </c>
      <c r="AY331">
        <f t="shared" si="232"/>
        <v>172.2</v>
      </c>
      <c r="AZ331">
        <f t="shared" si="233"/>
        <v>156.9</v>
      </c>
      <c r="BA331">
        <f t="shared" si="234"/>
        <v>162.1</v>
      </c>
      <c r="BB331">
        <f t="shared" si="235"/>
        <v>165.4</v>
      </c>
      <c r="BC331">
        <f t="shared" si="236"/>
        <v>164.4</v>
      </c>
      <c r="BD331">
        <f t="shared" si="237"/>
        <v>163.5</v>
      </c>
      <c r="BE331">
        <f t="shared" si="238"/>
        <v>166.1</v>
      </c>
      <c r="BF331">
        <f t="shared" si="239"/>
        <v>2161.2000000000003</v>
      </c>
      <c r="BG331">
        <f t="shared" si="240"/>
        <v>502.80000000000007</v>
      </c>
      <c r="BH331">
        <f t="shared" si="241"/>
        <v>336.6</v>
      </c>
      <c r="BI331">
        <f t="shared" si="242"/>
        <v>492.70000000000005</v>
      </c>
      <c r="BJ331">
        <f t="shared" si="243"/>
        <v>518.4</v>
      </c>
      <c r="BK331">
        <f t="shared" si="244"/>
        <v>322.60000000000002</v>
      </c>
    </row>
    <row r="332" spans="1:63" x14ac:dyDescent="0.35">
      <c r="A332" t="s">
        <v>30</v>
      </c>
      <c r="B332">
        <v>2022</v>
      </c>
      <c r="C332" t="s">
        <v>36</v>
      </c>
      <c r="D332">
        <v>150.19999999999999</v>
      </c>
      <c r="E332">
        <v>208</v>
      </c>
      <c r="F332">
        <v>167.9</v>
      </c>
      <c r="G332">
        <v>162</v>
      </c>
      <c r="H332">
        <v>203.1</v>
      </c>
      <c r="I332">
        <v>155.9</v>
      </c>
      <c r="J332">
        <v>155.80000000000001</v>
      </c>
      <c r="K332">
        <v>164.2</v>
      </c>
      <c r="L332">
        <v>118.1</v>
      </c>
      <c r="M332">
        <v>178.7</v>
      </c>
      <c r="N332">
        <v>171.2</v>
      </c>
      <c r="O332">
        <v>177.4</v>
      </c>
      <c r="P332">
        <v>166.6</v>
      </c>
      <c r="Q332">
        <v>192.3</v>
      </c>
      <c r="R332">
        <v>175.4</v>
      </c>
      <c r="S332">
        <v>173.2</v>
      </c>
      <c r="T332">
        <v>175.1</v>
      </c>
      <c r="U332" t="s">
        <v>32</v>
      </c>
      <c r="V332">
        <v>168.9</v>
      </c>
      <c r="W332">
        <v>166.5</v>
      </c>
      <c r="X332">
        <v>176</v>
      </c>
      <c r="Y332">
        <v>162</v>
      </c>
      <c r="Z332">
        <v>166.6</v>
      </c>
      <c r="AA332">
        <v>170.6</v>
      </c>
      <c r="AB332">
        <v>167.4</v>
      </c>
      <c r="AC332">
        <v>168.3</v>
      </c>
      <c r="AD332">
        <v>168.7</v>
      </c>
      <c r="AE332">
        <f t="shared" si="212"/>
        <v>150.19999999999999</v>
      </c>
      <c r="AF332">
        <f t="shared" si="213"/>
        <v>208</v>
      </c>
      <c r="AG332">
        <f t="shared" si="214"/>
        <v>167.9</v>
      </c>
      <c r="AH332">
        <f t="shared" si="215"/>
        <v>162</v>
      </c>
      <c r="AI332">
        <f t="shared" si="216"/>
        <v>203.1</v>
      </c>
      <c r="AJ332">
        <f t="shared" si="217"/>
        <v>155.9</v>
      </c>
      <c r="AK332">
        <f t="shared" si="218"/>
        <v>155.80000000000001</v>
      </c>
      <c r="AL332">
        <f t="shared" si="219"/>
        <v>164.2</v>
      </c>
      <c r="AM332">
        <f t="shared" si="220"/>
        <v>118.1</v>
      </c>
      <c r="AN332">
        <f t="shared" si="221"/>
        <v>178.7</v>
      </c>
      <c r="AO332">
        <f t="shared" si="222"/>
        <v>171.2</v>
      </c>
      <c r="AP332">
        <f t="shared" si="223"/>
        <v>177.4</v>
      </c>
      <c r="AQ332">
        <f t="shared" si="224"/>
        <v>166.6</v>
      </c>
      <c r="AR332">
        <f t="shared" si="225"/>
        <v>192.3</v>
      </c>
      <c r="AS332">
        <f t="shared" si="226"/>
        <v>175.4</v>
      </c>
      <c r="AT332">
        <f t="shared" si="227"/>
        <v>173.2</v>
      </c>
      <c r="AU332">
        <f t="shared" si="228"/>
        <v>175.1</v>
      </c>
      <c r="AV332">
        <f t="shared" si="229"/>
        <v>165.3</v>
      </c>
      <c r="AW332">
        <f t="shared" si="230"/>
        <v>168.9</v>
      </c>
      <c r="AX332">
        <f t="shared" si="231"/>
        <v>166.5</v>
      </c>
      <c r="AY332">
        <f t="shared" si="232"/>
        <v>176</v>
      </c>
      <c r="AZ332">
        <f t="shared" si="233"/>
        <v>162</v>
      </c>
      <c r="BA332">
        <f t="shared" si="234"/>
        <v>166.6</v>
      </c>
      <c r="BB332">
        <f t="shared" si="235"/>
        <v>170.6</v>
      </c>
      <c r="BC332">
        <f t="shared" si="236"/>
        <v>167.4</v>
      </c>
      <c r="BD332">
        <f t="shared" si="237"/>
        <v>168.3</v>
      </c>
      <c r="BE332">
        <f t="shared" si="238"/>
        <v>168.7</v>
      </c>
      <c r="BF332">
        <f t="shared" si="239"/>
        <v>2179.1000000000004</v>
      </c>
      <c r="BG332">
        <f t="shared" si="240"/>
        <v>523.70000000000005</v>
      </c>
      <c r="BH332">
        <f t="shared" si="241"/>
        <v>343.4</v>
      </c>
      <c r="BI332">
        <f t="shared" si="242"/>
        <v>502.40000000000003</v>
      </c>
      <c r="BJ332">
        <f t="shared" si="243"/>
        <v>527.20000000000005</v>
      </c>
      <c r="BK332">
        <f t="shared" si="244"/>
        <v>330.9</v>
      </c>
    </row>
    <row r="333" spans="1:63" x14ac:dyDescent="0.35">
      <c r="A333" t="s">
        <v>33</v>
      </c>
      <c r="B333">
        <v>2022</v>
      </c>
      <c r="C333" t="s">
        <v>36</v>
      </c>
      <c r="D333">
        <v>153.69999999999999</v>
      </c>
      <c r="E333">
        <v>215.8</v>
      </c>
      <c r="F333">
        <v>167.7</v>
      </c>
      <c r="G333">
        <v>162.6</v>
      </c>
      <c r="H333">
        <v>180</v>
      </c>
      <c r="I333">
        <v>159.6</v>
      </c>
      <c r="J333">
        <v>188.4</v>
      </c>
      <c r="K333">
        <v>163.4</v>
      </c>
      <c r="L333">
        <v>120.3</v>
      </c>
      <c r="M333">
        <v>174.7</v>
      </c>
      <c r="N333">
        <v>157.1</v>
      </c>
      <c r="O333">
        <v>181.5</v>
      </c>
      <c r="P333">
        <v>171.5</v>
      </c>
      <c r="Q333">
        <v>197.5</v>
      </c>
      <c r="R333">
        <v>167.1</v>
      </c>
      <c r="S333">
        <v>152.6</v>
      </c>
      <c r="T333">
        <v>164.9</v>
      </c>
      <c r="U333">
        <v>165.3</v>
      </c>
      <c r="V333">
        <v>164.5</v>
      </c>
      <c r="W333">
        <v>158.6</v>
      </c>
      <c r="X333">
        <v>168.2</v>
      </c>
      <c r="Y333">
        <v>154.19999999999999</v>
      </c>
      <c r="Z333">
        <v>160.80000000000001</v>
      </c>
      <c r="AA333">
        <v>162.69999999999999</v>
      </c>
      <c r="AB333">
        <v>166.8</v>
      </c>
      <c r="AC333">
        <v>160.6</v>
      </c>
      <c r="AD333">
        <v>166.5</v>
      </c>
      <c r="AE333">
        <f t="shared" si="212"/>
        <v>153.69999999999999</v>
      </c>
      <c r="AF333">
        <f t="shared" si="213"/>
        <v>215.8</v>
      </c>
      <c r="AG333">
        <f t="shared" si="214"/>
        <v>167.7</v>
      </c>
      <c r="AH333">
        <f t="shared" si="215"/>
        <v>162.6</v>
      </c>
      <c r="AI333">
        <f t="shared" si="216"/>
        <v>180</v>
      </c>
      <c r="AJ333">
        <f t="shared" si="217"/>
        <v>159.6</v>
      </c>
      <c r="AK333">
        <f t="shared" si="218"/>
        <v>188.4</v>
      </c>
      <c r="AL333">
        <f t="shared" si="219"/>
        <v>163.4</v>
      </c>
      <c r="AM333">
        <f t="shared" si="220"/>
        <v>120.3</v>
      </c>
      <c r="AN333">
        <f t="shared" si="221"/>
        <v>174.7</v>
      </c>
      <c r="AO333">
        <f t="shared" si="222"/>
        <v>157.1</v>
      </c>
      <c r="AP333">
        <f t="shared" si="223"/>
        <v>181.5</v>
      </c>
      <c r="AQ333">
        <f t="shared" si="224"/>
        <v>171.5</v>
      </c>
      <c r="AR333">
        <f t="shared" si="225"/>
        <v>197.5</v>
      </c>
      <c r="AS333">
        <f t="shared" si="226"/>
        <v>167.1</v>
      </c>
      <c r="AT333">
        <f t="shared" si="227"/>
        <v>152.6</v>
      </c>
      <c r="AU333">
        <f t="shared" si="228"/>
        <v>164.9</v>
      </c>
      <c r="AV333">
        <f t="shared" si="229"/>
        <v>165.3</v>
      </c>
      <c r="AW333">
        <f t="shared" si="230"/>
        <v>164.5</v>
      </c>
      <c r="AX333">
        <f t="shared" si="231"/>
        <v>158.6</v>
      </c>
      <c r="AY333">
        <f t="shared" si="232"/>
        <v>168.2</v>
      </c>
      <c r="AZ333">
        <f t="shared" si="233"/>
        <v>154.19999999999999</v>
      </c>
      <c r="BA333">
        <f t="shared" si="234"/>
        <v>160.80000000000001</v>
      </c>
      <c r="BB333">
        <f t="shared" si="235"/>
        <v>162.69999999999999</v>
      </c>
      <c r="BC333">
        <f t="shared" si="236"/>
        <v>166.8</v>
      </c>
      <c r="BD333">
        <f t="shared" si="237"/>
        <v>160.6</v>
      </c>
      <c r="BE333">
        <f t="shared" si="238"/>
        <v>166.5</v>
      </c>
      <c r="BF333">
        <f t="shared" si="239"/>
        <v>2196.3000000000002</v>
      </c>
      <c r="BG333">
        <f t="shared" si="240"/>
        <v>484.6</v>
      </c>
      <c r="BH333">
        <f t="shared" si="241"/>
        <v>335</v>
      </c>
      <c r="BI333">
        <f t="shared" si="242"/>
        <v>486.59999999999997</v>
      </c>
      <c r="BJ333">
        <f t="shared" si="243"/>
        <v>518.9</v>
      </c>
      <c r="BK333">
        <f t="shared" si="244"/>
        <v>318.7</v>
      </c>
    </row>
    <row r="334" spans="1:63" x14ac:dyDescent="0.35">
      <c r="A334" t="s">
        <v>34</v>
      </c>
      <c r="B334">
        <v>2022</v>
      </c>
      <c r="C334" t="s">
        <v>36</v>
      </c>
      <c r="D334">
        <v>151.30000000000001</v>
      </c>
      <c r="E334">
        <v>210.7</v>
      </c>
      <c r="F334">
        <v>167.8</v>
      </c>
      <c r="G334">
        <v>162.19999999999999</v>
      </c>
      <c r="H334">
        <v>194.6</v>
      </c>
      <c r="I334">
        <v>157.6</v>
      </c>
      <c r="J334">
        <v>166.9</v>
      </c>
      <c r="K334">
        <v>163.9</v>
      </c>
      <c r="L334">
        <v>118.8</v>
      </c>
      <c r="M334">
        <v>177.4</v>
      </c>
      <c r="N334">
        <v>165.3</v>
      </c>
      <c r="O334">
        <v>179.3</v>
      </c>
      <c r="P334">
        <v>168.4</v>
      </c>
      <c r="Q334">
        <v>193.7</v>
      </c>
      <c r="R334">
        <v>172.1</v>
      </c>
      <c r="S334">
        <v>164.6</v>
      </c>
      <c r="T334">
        <v>171.1</v>
      </c>
      <c r="U334">
        <v>165.3</v>
      </c>
      <c r="V334">
        <v>167.2</v>
      </c>
      <c r="W334">
        <v>162.80000000000001</v>
      </c>
      <c r="X334">
        <v>173</v>
      </c>
      <c r="Y334">
        <v>157.9</v>
      </c>
      <c r="Z334">
        <v>163.30000000000001</v>
      </c>
      <c r="AA334">
        <v>166</v>
      </c>
      <c r="AB334">
        <v>167.2</v>
      </c>
      <c r="AC334">
        <v>164.6</v>
      </c>
      <c r="AD334">
        <v>167.7</v>
      </c>
      <c r="AE334">
        <f t="shared" si="212"/>
        <v>151.30000000000001</v>
      </c>
      <c r="AF334">
        <f t="shared" si="213"/>
        <v>210.7</v>
      </c>
      <c r="AG334">
        <f t="shared" si="214"/>
        <v>167.8</v>
      </c>
      <c r="AH334">
        <f t="shared" si="215"/>
        <v>162.19999999999999</v>
      </c>
      <c r="AI334">
        <f t="shared" si="216"/>
        <v>194.6</v>
      </c>
      <c r="AJ334">
        <f t="shared" si="217"/>
        <v>157.6</v>
      </c>
      <c r="AK334">
        <f t="shared" si="218"/>
        <v>166.9</v>
      </c>
      <c r="AL334">
        <f t="shared" si="219"/>
        <v>163.9</v>
      </c>
      <c r="AM334">
        <f t="shared" si="220"/>
        <v>118.8</v>
      </c>
      <c r="AN334">
        <f t="shared" si="221"/>
        <v>177.4</v>
      </c>
      <c r="AO334">
        <f t="shared" si="222"/>
        <v>165.3</v>
      </c>
      <c r="AP334">
        <f t="shared" si="223"/>
        <v>179.3</v>
      </c>
      <c r="AQ334">
        <f t="shared" si="224"/>
        <v>168.4</v>
      </c>
      <c r="AR334">
        <f t="shared" si="225"/>
        <v>193.7</v>
      </c>
      <c r="AS334">
        <f t="shared" si="226"/>
        <v>172.1</v>
      </c>
      <c r="AT334">
        <f t="shared" si="227"/>
        <v>164.6</v>
      </c>
      <c r="AU334">
        <f t="shared" si="228"/>
        <v>171.1</v>
      </c>
      <c r="AV334">
        <f t="shared" si="229"/>
        <v>165.3</v>
      </c>
      <c r="AW334">
        <f t="shared" si="230"/>
        <v>167.2</v>
      </c>
      <c r="AX334">
        <f t="shared" si="231"/>
        <v>162.80000000000001</v>
      </c>
      <c r="AY334">
        <f t="shared" si="232"/>
        <v>173</v>
      </c>
      <c r="AZ334">
        <f t="shared" si="233"/>
        <v>157.9</v>
      </c>
      <c r="BA334">
        <f t="shared" si="234"/>
        <v>163.30000000000001</v>
      </c>
      <c r="BB334">
        <f t="shared" si="235"/>
        <v>166</v>
      </c>
      <c r="BC334">
        <f t="shared" si="236"/>
        <v>167.2</v>
      </c>
      <c r="BD334">
        <f t="shared" si="237"/>
        <v>164.6</v>
      </c>
      <c r="BE334">
        <f t="shared" si="238"/>
        <v>167.7</v>
      </c>
      <c r="BF334">
        <f t="shared" si="239"/>
        <v>2184.2000000000003</v>
      </c>
      <c r="BG334">
        <f t="shared" si="240"/>
        <v>507.79999999999995</v>
      </c>
      <c r="BH334">
        <f t="shared" si="241"/>
        <v>340.2</v>
      </c>
      <c r="BI334">
        <f t="shared" si="242"/>
        <v>494.1</v>
      </c>
      <c r="BJ334">
        <f t="shared" si="243"/>
        <v>521.6</v>
      </c>
      <c r="BK334">
        <f t="shared" si="244"/>
        <v>325.10000000000002</v>
      </c>
    </row>
    <row r="335" spans="1:63" x14ac:dyDescent="0.35">
      <c r="A335" t="s">
        <v>30</v>
      </c>
      <c r="B335">
        <v>2022</v>
      </c>
      <c r="C335" t="s">
        <v>37</v>
      </c>
      <c r="D335">
        <v>151.80000000000001</v>
      </c>
      <c r="E335">
        <v>209.7</v>
      </c>
      <c r="F335">
        <v>164.5</v>
      </c>
      <c r="G335">
        <v>163.80000000000001</v>
      </c>
      <c r="H335">
        <v>207.4</v>
      </c>
      <c r="I335">
        <v>169.7</v>
      </c>
      <c r="J335">
        <v>153.6</v>
      </c>
      <c r="K335">
        <v>165.1</v>
      </c>
      <c r="L335">
        <v>118.2</v>
      </c>
      <c r="M335">
        <v>182.9</v>
      </c>
      <c r="N335">
        <v>172.4</v>
      </c>
      <c r="O335">
        <v>178.9</v>
      </c>
      <c r="P335">
        <v>168.6</v>
      </c>
      <c r="Q335">
        <v>192.8</v>
      </c>
      <c r="R335">
        <v>177.5</v>
      </c>
      <c r="S335">
        <v>175.1</v>
      </c>
      <c r="T335">
        <v>177.1</v>
      </c>
      <c r="U335" t="s">
        <v>32</v>
      </c>
      <c r="V335">
        <v>173.3</v>
      </c>
      <c r="W335">
        <v>167.7</v>
      </c>
      <c r="X335">
        <v>177</v>
      </c>
      <c r="Y335">
        <v>166.2</v>
      </c>
      <c r="Z335">
        <v>167.2</v>
      </c>
      <c r="AA335">
        <v>170.9</v>
      </c>
      <c r="AB335">
        <v>169</v>
      </c>
      <c r="AC335">
        <v>170.2</v>
      </c>
      <c r="AD335">
        <v>170.8</v>
      </c>
      <c r="AE335">
        <f t="shared" si="212"/>
        <v>151.80000000000001</v>
      </c>
      <c r="AF335">
        <f t="shared" si="213"/>
        <v>209.7</v>
      </c>
      <c r="AG335">
        <f t="shared" si="214"/>
        <v>164.5</v>
      </c>
      <c r="AH335">
        <f t="shared" si="215"/>
        <v>163.80000000000001</v>
      </c>
      <c r="AI335">
        <f t="shared" si="216"/>
        <v>207.4</v>
      </c>
      <c r="AJ335">
        <f t="shared" si="217"/>
        <v>169.7</v>
      </c>
      <c r="AK335">
        <f t="shared" si="218"/>
        <v>153.6</v>
      </c>
      <c r="AL335">
        <f t="shared" si="219"/>
        <v>165.1</v>
      </c>
      <c r="AM335">
        <f t="shared" si="220"/>
        <v>118.2</v>
      </c>
      <c r="AN335">
        <f t="shared" si="221"/>
        <v>182.9</v>
      </c>
      <c r="AO335">
        <f t="shared" si="222"/>
        <v>172.4</v>
      </c>
      <c r="AP335">
        <f t="shared" si="223"/>
        <v>178.9</v>
      </c>
      <c r="AQ335">
        <f t="shared" si="224"/>
        <v>168.6</v>
      </c>
      <c r="AR335">
        <f t="shared" si="225"/>
        <v>192.8</v>
      </c>
      <c r="AS335">
        <f t="shared" si="226"/>
        <v>177.5</v>
      </c>
      <c r="AT335">
        <f t="shared" si="227"/>
        <v>175.1</v>
      </c>
      <c r="AU335">
        <f t="shared" si="228"/>
        <v>177.1</v>
      </c>
      <c r="AV335">
        <f t="shared" si="229"/>
        <v>167</v>
      </c>
      <c r="AW335">
        <f t="shared" si="230"/>
        <v>173.3</v>
      </c>
      <c r="AX335">
        <f t="shared" si="231"/>
        <v>167.7</v>
      </c>
      <c r="AY335">
        <f t="shared" si="232"/>
        <v>177</v>
      </c>
      <c r="AZ335">
        <f t="shared" si="233"/>
        <v>166.2</v>
      </c>
      <c r="BA335">
        <f t="shared" si="234"/>
        <v>167.2</v>
      </c>
      <c r="BB335">
        <f t="shared" si="235"/>
        <v>170.9</v>
      </c>
      <c r="BC335">
        <f t="shared" si="236"/>
        <v>169</v>
      </c>
      <c r="BD335">
        <f t="shared" si="237"/>
        <v>170.2</v>
      </c>
      <c r="BE335">
        <f t="shared" si="238"/>
        <v>170.8</v>
      </c>
      <c r="BF335">
        <f t="shared" si="239"/>
        <v>2206.6</v>
      </c>
      <c r="BG335">
        <f t="shared" si="240"/>
        <v>529.70000000000005</v>
      </c>
      <c r="BH335">
        <f t="shared" si="241"/>
        <v>346</v>
      </c>
      <c r="BI335">
        <f t="shared" si="242"/>
        <v>505.6</v>
      </c>
      <c r="BJ335">
        <f t="shared" si="243"/>
        <v>530.20000000000005</v>
      </c>
      <c r="BK335">
        <f t="shared" si="244"/>
        <v>339.5</v>
      </c>
    </row>
    <row r="336" spans="1:63" x14ac:dyDescent="0.35">
      <c r="A336" t="s">
        <v>33</v>
      </c>
      <c r="B336">
        <v>2022</v>
      </c>
      <c r="C336" t="s">
        <v>37</v>
      </c>
      <c r="D336">
        <v>155.4</v>
      </c>
      <c r="E336">
        <v>215.8</v>
      </c>
      <c r="F336">
        <v>164.6</v>
      </c>
      <c r="G336">
        <v>164.2</v>
      </c>
      <c r="H336">
        <v>186</v>
      </c>
      <c r="I336">
        <v>175.9</v>
      </c>
      <c r="J336">
        <v>190.7</v>
      </c>
      <c r="K336">
        <v>164</v>
      </c>
      <c r="L336">
        <v>120.5</v>
      </c>
      <c r="M336">
        <v>178</v>
      </c>
      <c r="N336">
        <v>157.5</v>
      </c>
      <c r="O336">
        <v>183.3</v>
      </c>
      <c r="P336">
        <v>174.5</v>
      </c>
      <c r="Q336">
        <v>197.1</v>
      </c>
      <c r="R336">
        <v>168.4</v>
      </c>
      <c r="S336">
        <v>154.5</v>
      </c>
      <c r="T336">
        <v>166.3</v>
      </c>
      <c r="U336">
        <v>167</v>
      </c>
      <c r="V336">
        <v>170.5</v>
      </c>
      <c r="W336">
        <v>159.80000000000001</v>
      </c>
      <c r="X336">
        <v>169</v>
      </c>
      <c r="Y336">
        <v>159.30000000000001</v>
      </c>
      <c r="Z336">
        <v>162.19999999999999</v>
      </c>
      <c r="AA336">
        <v>164</v>
      </c>
      <c r="AB336">
        <v>168.4</v>
      </c>
      <c r="AC336">
        <v>163.1</v>
      </c>
      <c r="AD336">
        <v>169.2</v>
      </c>
      <c r="AE336">
        <f t="shared" si="212"/>
        <v>155.4</v>
      </c>
      <c r="AF336">
        <f t="shared" si="213"/>
        <v>215.8</v>
      </c>
      <c r="AG336">
        <f t="shared" si="214"/>
        <v>164.6</v>
      </c>
      <c r="AH336">
        <f t="shared" si="215"/>
        <v>164.2</v>
      </c>
      <c r="AI336">
        <f t="shared" si="216"/>
        <v>186</v>
      </c>
      <c r="AJ336">
        <f t="shared" si="217"/>
        <v>175.9</v>
      </c>
      <c r="AK336">
        <f t="shared" si="218"/>
        <v>190.7</v>
      </c>
      <c r="AL336">
        <f t="shared" si="219"/>
        <v>164</v>
      </c>
      <c r="AM336">
        <f t="shared" si="220"/>
        <v>120.5</v>
      </c>
      <c r="AN336">
        <f t="shared" si="221"/>
        <v>178</v>
      </c>
      <c r="AO336">
        <f t="shared" si="222"/>
        <v>157.5</v>
      </c>
      <c r="AP336">
        <f t="shared" si="223"/>
        <v>183.3</v>
      </c>
      <c r="AQ336">
        <f t="shared" si="224"/>
        <v>174.5</v>
      </c>
      <c r="AR336">
        <f t="shared" si="225"/>
        <v>197.1</v>
      </c>
      <c r="AS336">
        <f t="shared" si="226"/>
        <v>168.4</v>
      </c>
      <c r="AT336">
        <f t="shared" si="227"/>
        <v>154.5</v>
      </c>
      <c r="AU336">
        <f t="shared" si="228"/>
        <v>166.3</v>
      </c>
      <c r="AV336">
        <f t="shared" si="229"/>
        <v>167</v>
      </c>
      <c r="AW336">
        <f t="shared" si="230"/>
        <v>170.5</v>
      </c>
      <c r="AX336">
        <f t="shared" si="231"/>
        <v>159.80000000000001</v>
      </c>
      <c r="AY336">
        <f t="shared" si="232"/>
        <v>169</v>
      </c>
      <c r="AZ336">
        <f t="shared" si="233"/>
        <v>159.30000000000001</v>
      </c>
      <c r="BA336">
        <f t="shared" si="234"/>
        <v>162.19999999999999</v>
      </c>
      <c r="BB336">
        <f t="shared" si="235"/>
        <v>164</v>
      </c>
      <c r="BC336">
        <f t="shared" si="236"/>
        <v>168.4</v>
      </c>
      <c r="BD336">
        <f t="shared" si="237"/>
        <v>163.1</v>
      </c>
      <c r="BE336">
        <f t="shared" si="238"/>
        <v>169.2</v>
      </c>
      <c r="BF336">
        <f t="shared" si="239"/>
        <v>2230.4</v>
      </c>
      <c r="BG336">
        <f t="shared" si="240"/>
        <v>489.2</v>
      </c>
      <c r="BH336">
        <f t="shared" si="241"/>
        <v>337.4</v>
      </c>
      <c r="BI336">
        <f t="shared" si="242"/>
        <v>490.8</v>
      </c>
      <c r="BJ336">
        <f t="shared" si="243"/>
        <v>522.4</v>
      </c>
      <c r="BK336">
        <f t="shared" si="244"/>
        <v>329.8</v>
      </c>
    </row>
    <row r="337" spans="1:63" x14ac:dyDescent="0.35">
      <c r="A337" t="s">
        <v>34</v>
      </c>
      <c r="B337">
        <v>2022</v>
      </c>
      <c r="C337" t="s">
        <v>37</v>
      </c>
      <c r="D337">
        <v>152.9</v>
      </c>
      <c r="E337">
        <v>211.8</v>
      </c>
      <c r="F337">
        <v>164.5</v>
      </c>
      <c r="G337">
        <v>163.9</v>
      </c>
      <c r="H337">
        <v>199.5</v>
      </c>
      <c r="I337">
        <v>172.6</v>
      </c>
      <c r="J337">
        <v>166.2</v>
      </c>
      <c r="K337">
        <v>164.7</v>
      </c>
      <c r="L337">
        <v>119</v>
      </c>
      <c r="M337">
        <v>181.3</v>
      </c>
      <c r="N337">
        <v>166.2</v>
      </c>
      <c r="O337">
        <v>180.9</v>
      </c>
      <c r="P337">
        <v>170.8</v>
      </c>
      <c r="Q337">
        <v>193.9</v>
      </c>
      <c r="R337">
        <v>173.9</v>
      </c>
      <c r="S337">
        <v>166.5</v>
      </c>
      <c r="T337">
        <v>172.8</v>
      </c>
      <c r="U337">
        <v>167</v>
      </c>
      <c r="V337">
        <v>172.2</v>
      </c>
      <c r="W337">
        <v>164</v>
      </c>
      <c r="X337">
        <v>174</v>
      </c>
      <c r="Y337">
        <v>162.6</v>
      </c>
      <c r="Z337">
        <v>164.4</v>
      </c>
      <c r="AA337">
        <v>166.9</v>
      </c>
      <c r="AB337">
        <v>168.8</v>
      </c>
      <c r="AC337">
        <v>166.8</v>
      </c>
      <c r="AD337">
        <v>170.1</v>
      </c>
      <c r="AE337">
        <f t="shared" si="212"/>
        <v>152.9</v>
      </c>
      <c r="AF337">
        <f t="shared" si="213"/>
        <v>211.8</v>
      </c>
      <c r="AG337">
        <f t="shared" si="214"/>
        <v>164.5</v>
      </c>
      <c r="AH337">
        <f t="shared" si="215"/>
        <v>163.9</v>
      </c>
      <c r="AI337">
        <f t="shared" si="216"/>
        <v>199.5</v>
      </c>
      <c r="AJ337">
        <f t="shared" si="217"/>
        <v>172.6</v>
      </c>
      <c r="AK337">
        <f t="shared" si="218"/>
        <v>166.2</v>
      </c>
      <c r="AL337">
        <f t="shared" si="219"/>
        <v>164.7</v>
      </c>
      <c r="AM337">
        <f t="shared" si="220"/>
        <v>119</v>
      </c>
      <c r="AN337">
        <f t="shared" si="221"/>
        <v>181.3</v>
      </c>
      <c r="AO337">
        <f t="shared" si="222"/>
        <v>166.2</v>
      </c>
      <c r="AP337">
        <f t="shared" si="223"/>
        <v>180.9</v>
      </c>
      <c r="AQ337">
        <f t="shared" si="224"/>
        <v>170.8</v>
      </c>
      <c r="AR337">
        <f t="shared" si="225"/>
        <v>193.9</v>
      </c>
      <c r="AS337">
        <f t="shared" si="226"/>
        <v>173.9</v>
      </c>
      <c r="AT337">
        <f t="shared" si="227"/>
        <v>166.5</v>
      </c>
      <c r="AU337">
        <f t="shared" si="228"/>
        <v>172.8</v>
      </c>
      <c r="AV337">
        <f t="shared" si="229"/>
        <v>167</v>
      </c>
      <c r="AW337">
        <f t="shared" si="230"/>
        <v>172.2</v>
      </c>
      <c r="AX337">
        <f t="shared" si="231"/>
        <v>164</v>
      </c>
      <c r="AY337">
        <f t="shared" si="232"/>
        <v>174</v>
      </c>
      <c r="AZ337">
        <f t="shared" si="233"/>
        <v>162.6</v>
      </c>
      <c r="BA337">
        <f t="shared" si="234"/>
        <v>164.4</v>
      </c>
      <c r="BB337">
        <f t="shared" si="235"/>
        <v>166.9</v>
      </c>
      <c r="BC337">
        <f t="shared" si="236"/>
        <v>168.8</v>
      </c>
      <c r="BD337">
        <f t="shared" si="237"/>
        <v>166.8</v>
      </c>
      <c r="BE337">
        <f t="shared" si="238"/>
        <v>170.1</v>
      </c>
      <c r="BF337">
        <f t="shared" si="239"/>
        <v>2214.3000000000002</v>
      </c>
      <c r="BG337">
        <f t="shared" si="240"/>
        <v>513.20000000000005</v>
      </c>
      <c r="BH337">
        <f t="shared" si="241"/>
        <v>342.8</v>
      </c>
      <c r="BI337">
        <f t="shared" si="242"/>
        <v>497.9</v>
      </c>
      <c r="BJ337">
        <f t="shared" si="243"/>
        <v>525.1</v>
      </c>
      <c r="BK337">
        <f t="shared" si="244"/>
        <v>334.79999999999995</v>
      </c>
    </row>
    <row r="338" spans="1:63" x14ac:dyDescent="0.35">
      <c r="A338" t="s">
        <v>30</v>
      </c>
      <c r="B338">
        <v>2022</v>
      </c>
      <c r="C338" t="s">
        <v>38</v>
      </c>
      <c r="D338">
        <v>152.9</v>
      </c>
      <c r="E338">
        <v>214.7</v>
      </c>
      <c r="F338">
        <v>161.4</v>
      </c>
      <c r="G338">
        <v>164.6</v>
      </c>
      <c r="H338">
        <v>209.9</v>
      </c>
      <c r="I338">
        <v>168</v>
      </c>
      <c r="J338">
        <v>160.4</v>
      </c>
      <c r="K338">
        <v>165</v>
      </c>
      <c r="L338">
        <v>118.9</v>
      </c>
      <c r="M338">
        <v>186.6</v>
      </c>
      <c r="N338">
        <v>173.2</v>
      </c>
      <c r="O338">
        <v>180.4</v>
      </c>
      <c r="P338">
        <v>170.8</v>
      </c>
      <c r="Q338">
        <v>192.9</v>
      </c>
      <c r="R338">
        <v>179.3</v>
      </c>
      <c r="S338">
        <v>177.2</v>
      </c>
      <c r="T338">
        <v>179</v>
      </c>
      <c r="U338" t="s">
        <v>32</v>
      </c>
      <c r="V338">
        <v>175.3</v>
      </c>
      <c r="W338">
        <v>168.9</v>
      </c>
      <c r="X338">
        <v>177.7</v>
      </c>
      <c r="Y338">
        <v>167.1</v>
      </c>
      <c r="Z338">
        <v>167.6</v>
      </c>
      <c r="AA338">
        <v>171.8</v>
      </c>
      <c r="AB338">
        <v>168.5</v>
      </c>
      <c r="AC338">
        <v>170.9</v>
      </c>
      <c r="AD338">
        <v>172.5</v>
      </c>
      <c r="AE338">
        <f t="shared" si="212"/>
        <v>152.9</v>
      </c>
      <c r="AF338">
        <f t="shared" si="213"/>
        <v>214.7</v>
      </c>
      <c r="AG338">
        <f t="shared" si="214"/>
        <v>161.4</v>
      </c>
      <c r="AH338">
        <f t="shared" si="215"/>
        <v>164.6</v>
      </c>
      <c r="AI338">
        <f t="shared" si="216"/>
        <v>209.9</v>
      </c>
      <c r="AJ338">
        <f t="shared" si="217"/>
        <v>168</v>
      </c>
      <c r="AK338">
        <f t="shared" si="218"/>
        <v>160.4</v>
      </c>
      <c r="AL338">
        <f t="shared" si="219"/>
        <v>165</v>
      </c>
      <c r="AM338">
        <f t="shared" si="220"/>
        <v>118.9</v>
      </c>
      <c r="AN338">
        <f t="shared" si="221"/>
        <v>186.6</v>
      </c>
      <c r="AO338">
        <f t="shared" si="222"/>
        <v>173.2</v>
      </c>
      <c r="AP338">
        <f t="shared" si="223"/>
        <v>180.4</v>
      </c>
      <c r="AQ338">
        <f t="shared" si="224"/>
        <v>170.8</v>
      </c>
      <c r="AR338">
        <f t="shared" si="225"/>
        <v>192.9</v>
      </c>
      <c r="AS338">
        <f t="shared" si="226"/>
        <v>179.3</v>
      </c>
      <c r="AT338">
        <f t="shared" si="227"/>
        <v>177.2</v>
      </c>
      <c r="AU338">
        <f t="shared" si="228"/>
        <v>179</v>
      </c>
      <c r="AV338">
        <f t="shared" si="229"/>
        <v>167.5</v>
      </c>
      <c r="AW338">
        <f t="shared" si="230"/>
        <v>175.3</v>
      </c>
      <c r="AX338">
        <f t="shared" si="231"/>
        <v>168.9</v>
      </c>
      <c r="AY338">
        <f t="shared" si="232"/>
        <v>177.7</v>
      </c>
      <c r="AZ338">
        <f t="shared" si="233"/>
        <v>167.1</v>
      </c>
      <c r="BA338">
        <f t="shared" si="234"/>
        <v>167.6</v>
      </c>
      <c r="BB338">
        <f t="shared" si="235"/>
        <v>171.8</v>
      </c>
      <c r="BC338">
        <f t="shared" si="236"/>
        <v>168.5</v>
      </c>
      <c r="BD338">
        <f t="shared" si="237"/>
        <v>170.9</v>
      </c>
      <c r="BE338">
        <f t="shared" si="238"/>
        <v>172.5</v>
      </c>
      <c r="BF338">
        <f t="shared" si="239"/>
        <v>2226.8000000000002</v>
      </c>
      <c r="BG338">
        <f t="shared" si="240"/>
        <v>535.5</v>
      </c>
      <c r="BH338">
        <f t="shared" si="241"/>
        <v>346.2</v>
      </c>
      <c r="BI338">
        <f t="shared" si="242"/>
        <v>508.20000000000005</v>
      </c>
      <c r="BJ338">
        <f t="shared" si="243"/>
        <v>531.4</v>
      </c>
      <c r="BK338">
        <f t="shared" si="244"/>
        <v>342.4</v>
      </c>
    </row>
    <row r="339" spans="1:63" x14ac:dyDescent="0.35">
      <c r="A339" t="s">
        <v>33</v>
      </c>
      <c r="B339">
        <v>2022</v>
      </c>
      <c r="C339" t="s">
        <v>38</v>
      </c>
      <c r="D339">
        <v>156.69999999999999</v>
      </c>
      <c r="E339">
        <v>221.2</v>
      </c>
      <c r="F339">
        <v>164.1</v>
      </c>
      <c r="G339">
        <v>165.4</v>
      </c>
      <c r="H339">
        <v>189.5</v>
      </c>
      <c r="I339">
        <v>174.5</v>
      </c>
      <c r="J339">
        <v>203.2</v>
      </c>
      <c r="K339">
        <v>164.1</v>
      </c>
      <c r="L339">
        <v>121.2</v>
      </c>
      <c r="M339">
        <v>181.4</v>
      </c>
      <c r="N339">
        <v>158.5</v>
      </c>
      <c r="O339">
        <v>184.9</v>
      </c>
      <c r="P339">
        <v>177.5</v>
      </c>
      <c r="Q339">
        <v>197.5</v>
      </c>
      <c r="R339">
        <v>170</v>
      </c>
      <c r="S339">
        <v>155.9</v>
      </c>
      <c r="T339">
        <v>167.8</v>
      </c>
      <c r="U339">
        <v>167.5</v>
      </c>
      <c r="V339">
        <v>173.5</v>
      </c>
      <c r="W339">
        <v>161.1</v>
      </c>
      <c r="X339">
        <v>170.1</v>
      </c>
      <c r="Y339">
        <v>159.4</v>
      </c>
      <c r="Z339">
        <v>163.19999999999999</v>
      </c>
      <c r="AA339">
        <v>165.2</v>
      </c>
      <c r="AB339">
        <v>168.2</v>
      </c>
      <c r="AC339">
        <v>163.80000000000001</v>
      </c>
      <c r="AD339">
        <v>170.8</v>
      </c>
      <c r="AE339">
        <f t="shared" si="212"/>
        <v>156.69999999999999</v>
      </c>
      <c r="AF339">
        <f t="shared" si="213"/>
        <v>221.2</v>
      </c>
      <c r="AG339">
        <f t="shared" si="214"/>
        <v>164.1</v>
      </c>
      <c r="AH339">
        <f t="shared" si="215"/>
        <v>165.4</v>
      </c>
      <c r="AI339">
        <f t="shared" si="216"/>
        <v>189.5</v>
      </c>
      <c r="AJ339">
        <f t="shared" si="217"/>
        <v>174.5</v>
      </c>
      <c r="AK339">
        <f t="shared" si="218"/>
        <v>203.2</v>
      </c>
      <c r="AL339">
        <f t="shared" si="219"/>
        <v>164.1</v>
      </c>
      <c r="AM339">
        <f t="shared" si="220"/>
        <v>121.2</v>
      </c>
      <c r="AN339">
        <f t="shared" si="221"/>
        <v>181.4</v>
      </c>
      <c r="AO339">
        <f t="shared" si="222"/>
        <v>158.5</v>
      </c>
      <c r="AP339">
        <f t="shared" si="223"/>
        <v>184.9</v>
      </c>
      <c r="AQ339">
        <f t="shared" si="224"/>
        <v>177.5</v>
      </c>
      <c r="AR339">
        <f t="shared" si="225"/>
        <v>197.5</v>
      </c>
      <c r="AS339">
        <f t="shared" si="226"/>
        <v>170</v>
      </c>
      <c r="AT339">
        <f t="shared" si="227"/>
        <v>155.9</v>
      </c>
      <c r="AU339">
        <f t="shared" si="228"/>
        <v>167.8</v>
      </c>
      <c r="AV339">
        <f t="shared" si="229"/>
        <v>167.5</v>
      </c>
      <c r="AW339">
        <f t="shared" si="230"/>
        <v>173.5</v>
      </c>
      <c r="AX339">
        <f t="shared" si="231"/>
        <v>161.1</v>
      </c>
      <c r="AY339">
        <f t="shared" si="232"/>
        <v>170.1</v>
      </c>
      <c r="AZ339">
        <f t="shared" si="233"/>
        <v>159.4</v>
      </c>
      <c r="BA339">
        <f t="shared" si="234"/>
        <v>163.19999999999999</v>
      </c>
      <c r="BB339">
        <f t="shared" si="235"/>
        <v>165.2</v>
      </c>
      <c r="BC339">
        <f t="shared" si="236"/>
        <v>168.2</v>
      </c>
      <c r="BD339">
        <f t="shared" si="237"/>
        <v>163.80000000000001</v>
      </c>
      <c r="BE339">
        <f t="shared" si="238"/>
        <v>170.8</v>
      </c>
      <c r="BF339">
        <f t="shared" si="239"/>
        <v>2262.2000000000003</v>
      </c>
      <c r="BG339">
        <f t="shared" si="240"/>
        <v>493.7</v>
      </c>
      <c r="BH339">
        <f t="shared" si="241"/>
        <v>338.29999999999995</v>
      </c>
      <c r="BI339">
        <f t="shared" si="242"/>
        <v>493.79999999999995</v>
      </c>
      <c r="BJ339">
        <f t="shared" si="243"/>
        <v>524.5</v>
      </c>
      <c r="BK339">
        <f t="shared" si="244"/>
        <v>332.9</v>
      </c>
    </row>
    <row r="340" spans="1:63" x14ac:dyDescent="0.35">
      <c r="A340" t="s">
        <v>34</v>
      </c>
      <c r="B340">
        <v>2022</v>
      </c>
      <c r="C340" t="s">
        <v>38</v>
      </c>
      <c r="D340">
        <v>154.1</v>
      </c>
      <c r="E340">
        <v>217</v>
      </c>
      <c r="F340">
        <v>162.4</v>
      </c>
      <c r="G340">
        <v>164.9</v>
      </c>
      <c r="H340">
        <v>202.4</v>
      </c>
      <c r="I340">
        <v>171</v>
      </c>
      <c r="J340">
        <v>174.9</v>
      </c>
      <c r="K340">
        <v>164.7</v>
      </c>
      <c r="L340">
        <v>119.7</v>
      </c>
      <c r="M340">
        <v>184.9</v>
      </c>
      <c r="N340">
        <v>167.1</v>
      </c>
      <c r="O340">
        <v>182.5</v>
      </c>
      <c r="P340">
        <v>173.3</v>
      </c>
      <c r="Q340">
        <v>194.1</v>
      </c>
      <c r="R340">
        <v>175.6</v>
      </c>
      <c r="S340">
        <v>168.4</v>
      </c>
      <c r="T340">
        <v>174.6</v>
      </c>
      <c r="U340">
        <v>167.5</v>
      </c>
      <c r="V340">
        <v>174.6</v>
      </c>
      <c r="W340">
        <v>165.2</v>
      </c>
      <c r="X340">
        <v>174.8</v>
      </c>
      <c r="Y340">
        <v>163</v>
      </c>
      <c r="Z340">
        <v>165.1</v>
      </c>
      <c r="AA340">
        <v>167.9</v>
      </c>
      <c r="AB340">
        <v>168.4</v>
      </c>
      <c r="AC340">
        <v>167.5</v>
      </c>
      <c r="AD340">
        <v>171.7</v>
      </c>
      <c r="AE340">
        <f t="shared" si="212"/>
        <v>154.1</v>
      </c>
      <c r="AF340">
        <f t="shared" si="213"/>
        <v>217</v>
      </c>
      <c r="AG340">
        <f t="shared" si="214"/>
        <v>162.4</v>
      </c>
      <c r="AH340">
        <f t="shared" si="215"/>
        <v>164.9</v>
      </c>
      <c r="AI340">
        <f t="shared" si="216"/>
        <v>202.4</v>
      </c>
      <c r="AJ340">
        <f t="shared" si="217"/>
        <v>171</v>
      </c>
      <c r="AK340">
        <f t="shared" si="218"/>
        <v>174.9</v>
      </c>
      <c r="AL340">
        <f t="shared" si="219"/>
        <v>164.7</v>
      </c>
      <c r="AM340">
        <f t="shared" si="220"/>
        <v>119.7</v>
      </c>
      <c r="AN340">
        <f t="shared" si="221"/>
        <v>184.9</v>
      </c>
      <c r="AO340">
        <f t="shared" si="222"/>
        <v>167.1</v>
      </c>
      <c r="AP340">
        <f t="shared" si="223"/>
        <v>182.5</v>
      </c>
      <c r="AQ340">
        <f t="shared" si="224"/>
        <v>173.3</v>
      </c>
      <c r="AR340">
        <f t="shared" si="225"/>
        <v>194.1</v>
      </c>
      <c r="AS340">
        <f t="shared" si="226"/>
        <v>175.6</v>
      </c>
      <c r="AT340">
        <f t="shared" si="227"/>
        <v>168.4</v>
      </c>
      <c r="AU340">
        <f t="shared" si="228"/>
        <v>174.6</v>
      </c>
      <c r="AV340">
        <f t="shared" si="229"/>
        <v>167.5</v>
      </c>
      <c r="AW340">
        <f t="shared" si="230"/>
        <v>174.6</v>
      </c>
      <c r="AX340">
        <f t="shared" si="231"/>
        <v>165.2</v>
      </c>
      <c r="AY340">
        <f t="shared" si="232"/>
        <v>174.8</v>
      </c>
      <c r="AZ340">
        <f t="shared" si="233"/>
        <v>163</v>
      </c>
      <c r="BA340">
        <f t="shared" si="234"/>
        <v>165.1</v>
      </c>
      <c r="BB340">
        <f t="shared" si="235"/>
        <v>167.9</v>
      </c>
      <c r="BC340">
        <f t="shared" si="236"/>
        <v>168.4</v>
      </c>
      <c r="BD340">
        <f t="shared" si="237"/>
        <v>167.5</v>
      </c>
      <c r="BE340">
        <f t="shared" si="238"/>
        <v>171.7</v>
      </c>
      <c r="BF340">
        <f t="shared" si="239"/>
        <v>2238.9000000000005</v>
      </c>
      <c r="BG340">
        <f t="shared" si="240"/>
        <v>518.6</v>
      </c>
      <c r="BH340">
        <f t="shared" si="241"/>
        <v>343.20000000000005</v>
      </c>
      <c r="BI340">
        <f t="shared" si="242"/>
        <v>500.6</v>
      </c>
      <c r="BJ340">
        <f t="shared" si="243"/>
        <v>526.70000000000005</v>
      </c>
      <c r="BK340">
        <f t="shared" si="244"/>
        <v>337.6</v>
      </c>
    </row>
    <row r="341" spans="1:63" x14ac:dyDescent="0.35">
      <c r="A341" t="s">
        <v>30</v>
      </c>
      <c r="B341">
        <v>2022</v>
      </c>
      <c r="C341" t="s">
        <v>39</v>
      </c>
      <c r="D341">
        <v>153.80000000000001</v>
      </c>
      <c r="E341">
        <v>217.2</v>
      </c>
      <c r="F341">
        <v>169.6</v>
      </c>
      <c r="G341">
        <v>165.4</v>
      </c>
      <c r="H341">
        <v>208.1</v>
      </c>
      <c r="I341">
        <v>165.8</v>
      </c>
      <c r="J341">
        <v>167.3</v>
      </c>
      <c r="K341">
        <v>164.6</v>
      </c>
      <c r="L341">
        <v>119.1</v>
      </c>
      <c r="M341">
        <v>188.9</v>
      </c>
      <c r="N341">
        <v>174.2</v>
      </c>
      <c r="O341">
        <v>181.9</v>
      </c>
      <c r="P341">
        <v>172.4</v>
      </c>
      <c r="Q341">
        <v>192.9</v>
      </c>
      <c r="R341">
        <v>180.7</v>
      </c>
      <c r="S341">
        <v>178.7</v>
      </c>
      <c r="T341">
        <v>180.4</v>
      </c>
      <c r="U341" t="s">
        <v>32</v>
      </c>
      <c r="V341">
        <v>176.7</v>
      </c>
      <c r="W341">
        <v>170.3</v>
      </c>
      <c r="X341">
        <v>178.2</v>
      </c>
      <c r="Y341">
        <v>165.5</v>
      </c>
      <c r="Z341">
        <v>168</v>
      </c>
      <c r="AA341">
        <v>172.6</v>
      </c>
      <c r="AB341">
        <v>169.5</v>
      </c>
      <c r="AC341">
        <v>171</v>
      </c>
      <c r="AD341">
        <v>173.6</v>
      </c>
      <c r="AE341">
        <f t="shared" si="212"/>
        <v>153.80000000000001</v>
      </c>
      <c r="AF341">
        <f t="shared" si="213"/>
        <v>217.2</v>
      </c>
      <c r="AG341">
        <f t="shared" si="214"/>
        <v>169.6</v>
      </c>
      <c r="AH341">
        <f t="shared" si="215"/>
        <v>165.4</v>
      </c>
      <c r="AI341">
        <f t="shared" si="216"/>
        <v>208.1</v>
      </c>
      <c r="AJ341">
        <f t="shared" si="217"/>
        <v>165.8</v>
      </c>
      <c r="AK341">
        <f t="shared" si="218"/>
        <v>167.3</v>
      </c>
      <c r="AL341">
        <f t="shared" si="219"/>
        <v>164.6</v>
      </c>
      <c r="AM341">
        <f t="shared" si="220"/>
        <v>119.1</v>
      </c>
      <c r="AN341">
        <f t="shared" si="221"/>
        <v>188.9</v>
      </c>
      <c r="AO341">
        <f t="shared" si="222"/>
        <v>174.2</v>
      </c>
      <c r="AP341">
        <f t="shared" si="223"/>
        <v>181.9</v>
      </c>
      <c r="AQ341">
        <f t="shared" si="224"/>
        <v>172.4</v>
      </c>
      <c r="AR341">
        <f t="shared" si="225"/>
        <v>192.9</v>
      </c>
      <c r="AS341">
        <f t="shared" si="226"/>
        <v>180.7</v>
      </c>
      <c r="AT341">
        <f t="shared" si="227"/>
        <v>178.7</v>
      </c>
      <c r="AU341">
        <f t="shared" si="228"/>
        <v>180.4</v>
      </c>
      <c r="AV341">
        <f t="shared" si="229"/>
        <v>166.8</v>
      </c>
      <c r="AW341">
        <f t="shared" si="230"/>
        <v>176.7</v>
      </c>
      <c r="AX341">
        <f t="shared" si="231"/>
        <v>170.3</v>
      </c>
      <c r="AY341">
        <f t="shared" si="232"/>
        <v>178.2</v>
      </c>
      <c r="AZ341">
        <f t="shared" si="233"/>
        <v>165.5</v>
      </c>
      <c r="BA341">
        <f t="shared" si="234"/>
        <v>168</v>
      </c>
      <c r="BB341">
        <f t="shared" si="235"/>
        <v>172.6</v>
      </c>
      <c r="BC341">
        <f t="shared" si="236"/>
        <v>169.5</v>
      </c>
      <c r="BD341">
        <f t="shared" si="237"/>
        <v>171</v>
      </c>
      <c r="BE341">
        <f t="shared" si="238"/>
        <v>173.6</v>
      </c>
      <c r="BF341">
        <f t="shared" si="239"/>
        <v>2248.3000000000002</v>
      </c>
      <c r="BG341">
        <f t="shared" si="240"/>
        <v>539.79999999999995</v>
      </c>
      <c r="BH341">
        <f t="shared" si="241"/>
        <v>347.7</v>
      </c>
      <c r="BI341">
        <f t="shared" si="242"/>
        <v>509.7</v>
      </c>
      <c r="BJ341">
        <f t="shared" si="243"/>
        <v>531.9</v>
      </c>
      <c r="BK341">
        <f t="shared" si="244"/>
        <v>342.2</v>
      </c>
    </row>
    <row r="342" spans="1:63" x14ac:dyDescent="0.35">
      <c r="A342" t="s">
        <v>33</v>
      </c>
      <c r="B342">
        <v>2022</v>
      </c>
      <c r="C342" t="s">
        <v>39</v>
      </c>
      <c r="D342">
        <v>157.5</v>
      </c>
      <c r="E342">
        <v>223.4</v>
      </c>
      <c r="F342">
        <v>172.8</v>
      </c>
      <c r="G342">
        <v>166.4</v>
      </c>
      <c r="H342">
        <v>188.6</v>
      </c>
      <c r="I342">
        <v>174.1</v>
      </c>
      <c r="J342">
        <v>211.5</v>
      </c>
      <c r="K342">
        <v>163.6</v>
      </c>
      <c r="L342">
        <v>121.4</v>
      </c>
      <c r="M342">
        <v>183.5</v>
      </c>
      <c r="N342">
        <v>159.1</v>
      </c>
      <c r="O342">
        <v>186.3</v>
      </c>
      <c r="P342">
        <v>179.3</v>
      </c>
      <c r="Q342">
        <v>198.3</v>
      </c>
      <c r="R342">
        <v>171.6</v>
      </c>
      <c r="S342">
        <v>157.4</v>
      </c>
      <c r="T342">
        <v>169.4</v>
      </c>
      <c r="U342">
        <v>166.8</v>
      </c>
      <c r="V342">
        <v>174.9</v>
      </c>
      <c r="W342">
        <v>162.1</v>
      </c>
      <c r="X342">
        <v>170.9</v>
      </c>
      <c r="Y342">
        <v>157.19999999999999</v>
      </c>
      <c r="Z342">
        <v>164.1</v>
      </c>
      <c r="AA342">
        <v>166.5</v>
      </c>
      <c r="AB342">
        <v>169.2</v>
      </c>
      <c r="AC342">
        <v>163.80000000000001</v>
      </c>
      <c r="AD342">
        <v>171.4</v>
      </c>
      <c r="AE342">
        <f t="shared" si="212"/>
        <v>157.5</v>
      </c>
      <c r="AF342">
        <f t="shared" si="213"/>
        <v>223.4</v>
      </c>
      <c r="AG342">
        <f t="shared" si="214"/>
        <v>172.8</v>
      </c>
      <c r="AH342">
        <f t="shared" si="215"/>
        <v>166.4</v>
      </c>
      <c r="AI342">
        <f t="shared" si="216"/>
        <v>188.6</v>
      </c>
      <c r="AJ342">
        <f t="shared" si="217"/>
        <v>174.1</v>
      </c>
      <c r="AK342">
        <f t="shared" si="218"/>
        <v>211.5</v>
      </c>
      <c r="AL342">
        <f t="shared" si="219"/>
        <v>163.6</v>
      </c>
      <c r="AM342">
        <f t="shared" si="220"/>
        <v>121.4</v>
      </c>
      <c r="AN342">
        <f t="shared" si="221"/>
        <v>183.5</v>
      </c>
      <c r="AO342">
        <f t="shared" si="222"/>
        <v>159.1</v>
      </c>
      <c r="AP342">
        <f t="shared" si="223"/>
        <v>186.3</v>
      </c>
      <c r="AQ342">
        <f t="shared" si="224"/>
        <v>179.3</v>
      </c>
      <c r="AR342">
        <f t="shared" si="225"/>
        <v>198.3</v>
      </c>
      <c r="AS342">
        <f t="shared" si="226"/>
        <v>171.6</v>
      </c>
      <c r="AT342">
        <f t="shared" si="227"/>
        <v>157.4</v>
      </c>
      <c r="AU342">
        <f t="shared" si="228"/>
        <v>169.4</v>
      </c>
      <c r="AV342">
        <f t="shared" si="229"/>
        <v>166.8</v>
      </c>
      <c r="AW342">
        <f t="shared" si="230"/>
        <v>174.9</v>
      </c>
      <c r="AX342">
        <f t="shared" si="231"/>
        <v>162.1</v>
      </c>
      <c r="AY342">
        <f t="shared" si="232"/>
        <v>170.9</v>
      </c>
      <c r="AZ342">
        <f t="shared" si="233"/>
        <v>157.19999999999999</v>
      </c>
      <c r="BA342">
        <f t="shared" si="234"/>
        <v>164.1</v>
      </c>
      <c r="BB342">
        <f t="shared" si="235"/>
        <v>166.5</v>
      </c>
      <c r="BC342">
        <f t="shared" si="236"/>
        <v>169.2</v>
      </c>
      <c r="BD342">
        <f t="shared" si="237"/>
        <v>163.80000000000001</v>
      </c>
      <c r="BE342">
        <f t="shared" si="238"/>
        <v>171.4</v>
      </c>
      <c r="BF342">
        <f t="shared" si="239"/>
        <v>2287.5</v>
      </c>
      <c r="BG342">
        <f t="shared" si="240"/>
        <v>498.4</v>
      </c>
      <c r="BH342">
        <f t="shared" si="241"/>
        <v>340.1</v>
      </c>
      <c r="BI342">
        <f t="shared" si="242"/>
        <v>495.40000000000003</v>
      </c>
      <c r="BJ342">
        <f t="shared" si="243"/>
        <v>526.20000000000005</v>
      </c>
      <c r="BK342">
        <f t="shared" si="244"/>
        <v>332.1</v>
      </c>
    </row>
    <row r="343" spans="1:63" x14ac:dyDescent="0.35">
      <c r="A343" t="s">
        <v>34</v>
      </c>
      <c r="B343">
        <v>2022</v>
      </c>
      <c r="C343" t="s">
        <v>39</v>
      </c>
      <c r="D343">
        <v>155</v>
      </c>
      <c r="E343">
        <v>219.4</v>
      </c>
      <c r="F343">
        <v>170.8</v>
      </c>
      <c r="G343">
        <v>165.8</v>
      </c>
      <c r="H343">
        <v>200.9</v>
      </c>
      <c r="I343">
        <v>169.7</v>
      </c>
      <c r="J343">
        <v>182.3</v>
      </c>
      <c r="K343">
        <v>164.3</v>
      </c>
      <c r="L343">
        <v>119.9</v>
      </c>
      <c r="M343">
        <v>187.1</v>
      </c>
      <c r="N343">
        <v>167.9</v>
      </c>
      <c r="O343">
        <v>183.9</v>
      </c>
      <c r="P343">
        <v>174.9</v>
      </c>
      <c r="Q343">
        <v>194.3</v>
      </c>
      <c r="R343">
        <v>177.1</v>
      </c>
      <c r="S343">
        <v>169.9</v>
      </c>
      <c r="T343">
        <v>176</v>
      </c>
      <c r="U343">
        <v>166.8</v>
      </c>
      <c r="V343">
        <v>176</v>
      </c>
      <c r="W343">
        <v>166.4</v>
      </c>
      <c r="X343">
        <v>175.4</v>
      </c>
      <c r="Y343">
        <v>161.1</v>
      </c>
      <c r="Z343">
        <v>165.8</v>
      </c>
      <c r="AA343">
        <v>169</v>
      </c>
      <c r="AB343">
        <v>169.4</v>
      </c>
      <c r="AC343">
        <v>167.5</v>
      </c>
      <c r="AD343">
        <v>172.6</v>
      </c>
      <c r="AE343">
        <f t="shared" si="212"/>
        <v>155</v>
      </c>
      <c r="AF343">
        <f t="shared" si="213"/>
        <v>219.4</v>
      </c>
      <c r="AG343">
        <f t="shared" si="214"/>
        <v>170.8</v>
      </c>
      <c r="AH343">
        <f t="shared" si="215"/>
        <v>165.8</v>
      </c>
      <c r="AI343">
        <f t="shared" si="216"/>
        <v>200.9</v>
      </c>
      <c r="AJ343">
        <f t="shared" si="217"/>
        <v>169.7</v>
      </c>
      <c r="AK343">
        <f t="shared" si="218"/>
        <v>182.3</v>
      </c>
      <c r="AL343">
        <f t="shared" si="219"/>
        <v>164.3</v>
      </c>
      <c r="AM343">
        <f t="shared" si="220"/>
        <v>119.9</v>
      </c>
      <c r="AN343">
        <f t="shared" si="221"/>
        <v>187.1</v>
      </c>
      <c r="AO343">
        <f t="shared" si="222"/>
        <v>167.9</v>
      </c>
      <c r="AP343">
        <f t="shared" si="223"/>
        <v>183.9</v>
      </c>
      <c r="AQ343">
        <f t="shared" si="224"/>
        <v>174.9</v>
      </c>
      <c r="AR343">
        <f t="shared" si="225"/>
        <v>194.3</v>
      </c>
      <c r="AS343">
        <f t="shared" si="226"/>
        <v>177.1</v>
      </c>
      <c r="AT343">
        <f t="shared" si="227"/>
        <v>169.9</v>
      </c>
      <c r="AU343">
        <f t="shared" si="228"/>
        <v>176</v>
      </c>
      <c r="AV343">
        <f t="shared" si="229"/>
        <v>166.8</v>
      </c>
      <c r="AW343">
        <f t="shared" si="230"/>
        <v>176</v>
      </c>
      <c r="AX343">
        <f t="shared" si="231"/>
        <v>166.4</v>
      </c>
      <c r="AY343">
        <f t="shared" si="232"/>
        <v>175.4</v>
      </c>
      <c r="AZ343">
        <f t="shared" si="233"/>
        <v>161.1</v>
      </c>
      <c r="BA343">
        <f t="shared" si="234"/>
        <v>165.8</v>
      </c>
      <c r="BB343">
        <f t="shared" si="235"/>
        <v>169</v>
      </c>
      <c r="BC343">
        <f t="shared" si="236"/>
        <v>169.4</v>
      </c>
      <c r="BD343">
        <f t="shared" si="237"/>
        <v>167.5</v>
      </c>
      <c r="BE343">
        <f t="shared" si="238"/>
        <v>172.6</v>
      </c>
      <c r="BF343">
        <f t="shared" si="239"/>
        <v>2261.9</v>
      </c>
      <c r="BG343">
        <f t="shared" si="240"/>
        <v>523</v>
      </c>
      <c r="BH343">
        <f t="shared" si="241"/>
        <v>344.8</v>
      </c>
      <c r="BI343">
        <f t="shared" si="242"/>
        <v>502.2</v>
      </c>
      <c r="BJ343">
        <f t="shared" si="243"/>
        <v>527.6</v>
      </c>
      <c r="BK343">
        <f t="shared" si="244"/>
        <v>337.1</v>
      </c>
    </row>
    <row r="344" spans="1:63" x14ac:dyDescent="0.35">
      <c r="A344" t="s">
        <v>30</v>
      </c>
      <c r="B344">
        <v>2022</v>
      </c>
      <c r="C344" t="s">
        <v>40</v>
      </c>
      <c r="D344">
        <v>155.19999999999999</v>
      </c>
      <c r="E344">
        <v>210.8</v>
      </c>
      <c r="F344">
        <v>174.3</v>
      </c>
      <c r="G344">
        <v>166.3</v>
      </c>
      <c r="H344">
        <v>202.2</v>
      </c>
      <c r="I344">
        <v>169.6</v>
      </c>
      <c r="J344">
        <v>168.6</v>
      </c>
      <c r="K344">
        <v>164.4</v>
      </c>
      <c r="L344">
        <v>119.2</v>
      </c>
      <c r="M344">
        <v>191.8</v>
      </c>
      <c r="N344">
        <v>174.5</v>
      </c>
      <c r="O344">
        <v>183.1</v>
      </c>
      <c r="P344">
        <v>172.5</v>
      </c>
      <c r="Q344">
        <v>193.2</v>
      </c>
      <c r="R344">
        <v>182</v>
      </c>
      <c r="S344">
        <v>180.3</v>
      </c>
      <c r="T344">
        <v>181.7</v>
      </c>
      <c r="U344" t="s">
        <v>32</v>
      </c>
      <c r="V344">
        <v>179.6</v>
      </c>
      <c r="W344">
        <v>171.3</v>
      </c>
      <c r="X344">
        <v>178.8</v>
      </c>
      <c r="Y344">
        <v>166.3</v>
      </c>
      <c r="Z344">
        <v>168.6</v>
      </c>
      <c r="AA344">
        <v>174.7</v>
      </c>
      <c r="AB344">
        <v>169.7</v>
      </c>
      <c r="AC344">
        <v>171.8</v>
      </c>
      <c r="AD344">
        <v>174.3</v>
      </c>
      <c r="AE344">
        <f t="shared" si="212"/>
        <v>155.19999999999999</v>
      </c>
      <c r="AF344">
        <f t="shared" si="213"/>
        <v>210.8</v>
      </c>
      <c r="AG344">
        <f t="shared" si="214"/>
        <v>174.3</v>
      </c>
      <c r="AH344">
        <f t="shared" si="215"/>
        <v>166.3</v>
      </c>
      <c r="AI344">
        <f t="shared" si="216"/>
        <v>202.2</v>
      </c>
      <c r="AJ344">
        <f t="shared" si="217"/>
        <v>169.6</v>
      </c>
      <c r="AK344">
        <f t="shared" si="218"/>
        <v>168.6</v>
      </c>
      <c r="AL344">
        <f t="shared" si="219"/>
        <v>164.4</v>
      </c>
      <c r="AM344">
        <f t="shared" si="220"/>
        <v>119.2</v>
      </c>
      <c r="AN344">
        <f t="shared" si="221"/>
        <v>191.8</v>
      </c>
      <c r="AO344">
        <f t="shared" si="222"/>
        <v>174.5</v>
      </c>
      <c r="AP344">
        <f t="shared" si="223"/>
        <v>183.1</v>
      </c>
      <c r="AQ344">
        <f t="shared" si="224"/>
        <v>172.5</v>
      </c>
      <c r="AR344">
        <f t="shared" si="225"/>
        <v>193.2</v>
      </c>
      <c r="AS344">
        <f t="shared" si="226"/>
        <v>182</v>
      </c>
      <c r="AT344">
        <f t="shared" si="227"/>
        <v>180.3</v>
      </c>
      <c r="AU344">
        <f t="shared" si="228"/>
        <v>181.7</v>
      </c>
      <c r="AV344">
        <f t="shared" si="229"/>
        <v>167.8</v>
      </c>
      <c r="AW344">
        <f t="shared" si="230"/>
        <v>179.6</v>
      </c>
      <c r="AX344">
        <f t="shared" si="231"/>
        <v>171.3</v>
      </c>
      <c r="AY344">
        <f t="shared" si="232"/>
        <v>178.8</v>
      </c>
      <c r="AZ344">
        <f t="shared" si="233"/>
        <v>166.3</v>
      </c>
      <c r="BA344">
        <f t="shared" si="234"/>
        <v>168.6</v>
      </c>
      <c r="BB344">
        <f t="shared" si="235"/>
        <v>174.7</v>
      </c>
      <c r="BC344">
        <f t="shared" si="236"/>
        <v>169.7</v>
      </c>
      <c r="BD344">
        <f t="shared" si="237"/>
        <v>171.8</v>
      </c>
      <c r="BE344">
        <f t="shared" si="238"/>
        <v>174.3</v>
      </c>
      <c r="BF344">
        <f t="shared" si="239"/>
        <v>2252.5</v>
      </c>
      <c r="BG344">
        <f t="shared" si="240"/>
        <v>544</v>
      </c>
      <c r="BH344">
        <f t="shared" si="241"/>
        <v>348.5</v>
      </c>
      <c r="BI344">
        <f t="shared" si="242"/>
        <v>513.79999999999995</v>
      </c>
      <c r="BJ344">
        <f t="shared" si="243"/>
        <v>533.59999999999991</v>
      </c>
      <c r="BK344">
        <f t="shared" si="244"/>
        <v>345.9</v>
      </c>
    </row>
    <row r="345" spans="1:63" x14ac:dyDescent="0.35">
      <c r="A345" t="s">
        <v>33</v>
      </c>
      <c r="B345">
        <v>2022</v>
      </c>
      <c r="C345" t="s">
        <v>40</v>
      </c>
      <c r="D345">
        <v>159.30000000000001</v>
      </c>
      <c r="E345">
        <v>217.1</v>
      </c>
      <c r="F345">
        <v>176.6</v>
      </c>
      <c r="G345">
        <v>167.1</v>
      </c>
      <c r="H345">
        <v>184.8</v>
      </c>
      <c r="I345">
        <v>179.5</v>
      </c>
      <c r="J345">
        <v>208.5</v>
      </c>
      <c r="K345">
        <v>164</v>
      </c>
      <c r="L345">
        <v>121.5</v>
      </c>
      <c r="M345">
        <v>186.3</v>
      </c>
      <c r="N345">
        <v>159.80000000000001</v>
      </c>
      <c r="O345">
        <v>187.7</v>
      </c>
      <c r="P345">
        <v>179.4</v>
      </c>
      <c r="Q345">
        <v>198.6</v>
      </c>
      <c r="R345">
        <v>172.7</v>
      </c>
      <c r="S345">
        <v>158.69999999999999</v>
      </c>
      <c r="T345">
        <v>170.6</v>
      </c>
      <c r="U345">
        <v>167.8</v>
      </c>
      <c r="V345">
        <v>179.5</v>
      </c>
      <c r="W345">
        <v>163.1</v>
      </c>
      <c r="X345">
        <v>171.7</v>
      </c>
      <c r="Y345">
        <v>157.4</v>
      </c>
      <c r="Z345">
        <v>164.6</v>
      </c>
      <c r="AA345">
        <v>169.1</v>
      </c>
      <c r="AB345">
        <v>169.8</v>
      </c>
      <c r="AC345">
        <v>164.7</v>
      </c>
      <c r="AD345">
        <v>172.3</v>
      </c>
      <c r="AE345">
        <f t="shared" si="212"/>
        <v>159.30000000000001</v>
      </c>
      <c r="AF345">
        <f t="shared" si="213"/>
        <v>217.1</v>
      </c>
      <c r="AG345">
        <f t="shared" si="214"/>
        <v>176.6</v>
      </c>
      <c r="AH345">
        <f t="shared" si="215"/>
        <v>167.1</v>
      </c>
      <c r="AI345">
        <f t="shared" si="216"/>
        <v>184.8</v>
      </c>
      <c r="AJ345">
        <f t="shared" si="217"/>
        <v>179.5</v>
      </c>
      <c r="AK345">
        <f t="shared" si="218"/>
        <v>208.5</v>
      </c>
      <c r="AL345">
        <f t="shared" si="219"/>
        <v>164</v>
      </c>
      <c r="AM345">
        <f t="shared" si="220"/>
        <v>121.5</v>
      </c>
      <c r="AN345">
        <f t="shared" si="221"/>
        <v>186.3</v>
      </c>
      <c r="AO345">
        <f t="shared" si="222"/>
        <v>159.80000000000001</v>
      </c>
      <c r="AP345">
        <f t="shared" si="223"/>
        <v>187.7</v>
      </c>
      <c r="AQ345">
        <f t="shared" si="224"/>
        <v>179.4</v>
      </c>
      <c r="AR345">
        <f t="shared" si="225"/>
        <v>198.6</v>
      </c>
      <c r="AS345">
        <f t="shared" si="226"/>
        <v>172.7</v>
      </c>
      <c r="AT345">
        <f t="shared" si="227"/>
        <v>158.69999999999999</v>
      </c>
      <c r="AU345">
        <f t="shared" si="228"/>
        <v>170.6</v>
      </c>
      <c r="AV345">
        <f t="shared" si="229"/>
        <v>167.8</v>
      </c>
      <c r="AW345">
        <f t="shared" si="230"/>
        <v>179.5</v>
      </c>
      <c r="AX345">
        <f t="shared" si="231"/>
        <v>163.1</v>
      </c>
      <c r="AY345">
        <f t="shared" si="232"/>
        <v>171.7</v>
      </c>
      <c r="AZ345">
        <f t="shared" si="233"/>
        <v>157.4</v>
      </c>
      <c r="BA345">
        <f t="shared" si="234"/>
        <v>164.6</v>
      </c>
      <c r="BB345">
        <f t="shared" si="235"/>
        <v>169.1</v>
      </c>
      <c r="BC345">
        <f t="shared" si="236"/>
        <v>169.8</v>
      </c>
      <c r="BD345">
        <f t="shared" si="237"/>
        <v>164.7</v>
      </c>
      <c r="BE345">
        <f t="shared" si="238"/>
        <v>172.3</v>
      </c>
      <c r="BF345">
        <f t="shared" si="239"/>
        <v>2291.6</v>
      </c>
      <c r="BG345">
        <f t="shared" si="240"/>
        <v>502</v>
      </c>
      <c r="BH345">
        <f t="shared" si="241"/>
        <v>341.5</v>
      </c>
      <c r="BI345">
        <f t="shared" si="242"/>
        <v>500</v>
      </c>
      <c r="BJ345">
        <f t="shared" si="243"/>
        <v>527.9</v>
      </c>
      <c r="BK345">
        <f t="shared" si="244"/>
        <v>336.9</v>
      </c>
    </row>
    <row r="346" spans="1:63" x14ac:dyDescent="0.35">
      <c r="A346" t="s">
        <v>34</v>
      </c>
      <c r="B346">
        <v>2022</v>
      </c>
      <c r="C346" t="s">
        <v>40</v>
      </c>
      <c r="D346">
        <v>156.5</v>
      </c>
      <c r="E346">
        <v>213</v>
      </c>
      <c r="F346">
        <v>175.2</v>
      </c>
      <c r="G346">
        <v>166.6</v>
      </c>
      <c r="H346">
        <v>195.8</v>
      </c>
      <c r="I346">
        <v>174.2</v>
      </c>
      <c r="J346">
        <v>182.1</v>
      </c>
      <c r="K346">
        <v>164.3</v>
      </c>
      <c r="L346">
        <v>120</v>
      </c>
      <c r="M346">
        <v>190</v>
      </c>
      <c r="N346">
        <v>168.4</v>
      </c>
      <c r="O346">
        <v>185.2</v>
      </c>
      <c r="P346">
        <v>175</v>
      </c>
      <c r="Q346">
        <v>194.6</v>
      </c>
      <c r="R346">
        <v>178.3</v>
      </c>
      <c r="S346">
        <v>171.3</v>
      </c>
      <c r="T346">
        <v>177.3</v>
      </c>
      <c r="U346">
        <v>167.8</v>
      </c>
      <c r="V346">
        <v>179.6</v>
      </c>
      <c r="W346">
        <v>167.4</v>
      </c>
      <c r="X346">
        <v>176.1</v>
      </c>
      <c r="Y346">
        <v>161.6</v>
      </c>
      <c r="Z346">
        <v>166.3</v>
      </c>
      <c r="AA346">
        <v>171.4</v>
      </c>
      <c r="AB346">
        <v>169.7</v>
      </c>
      <c r="AC346">
        <v>168.4</v>
      </c>
      <c r="AD346">
        <v>173.4</v>
      </c>
      <c r="AE346">
        <f t="shared" si="212"/>
        <v>156.5</v>
      </c>
      <c r="AF346">
        <f t="shared" si="213"/>
        <v>213</v>
      </c>
      <c r="AG346">
        <f t="shared" si="214"/>
        <v>175.2</v>
      </c>
      <c r="AH346">
        <f t="shared" si="215"/>
        <v>166.6</v>
      </c>
      <c r="AI346">
        <f t="shared" si="216"/>
        <v>195.8</v>
      </c>
      <c r="AJ346">
        <f t="shared" si="217"/>
        <v>174.2</v>
      </c>
      <c r="AK346">
        <f t="shared" si="218"/>
        <v>182.1</v>
      </c>
      <c r="AL346">
        <f t="shared" si="219"/>
        <v>164.3</v>
      </c>
      <c r="AM346">
        <f t="shared" si="220"/>
        <v>120</v>
      </c>
      <c r="AN346">
        <f t="shared" si="221"/>
        <v>190</v>
      </c>
      <c r="AO346">
        <f t="shared" si="222"/>
        <v>168.4</v>
      </c>
      <c r="AP346">
        <f t="shared" si="223"/>
        <v>185.2</v>
      </c>
      <c r="AQ346">
        <f t="shared" si="224"/>
        <v>175</v>
      </c>
      <c r="AR346">
        <f t="shared" si="225"/>
        <v>194.6</v>
      </c>
      <c r="AS346">
        <f t="shared" si="226"/>
        <v>178.3</v>
      </c>
      <c r="AT346">
        <f t="shared" si="227"/>
        <v>171.3</v>
      </c>
      <c r="AU346">
        <f t="shared" si="228"/>
        <v>177.3</v>
      </c>
      <c r="AV346">
        <f t="shared" si="229"/>
        <v>167.8</v>
      </c>
      <c r="AW346">
        <f t="shared" si="230"/>
        <v>179.6</v>
      </c>
      <c r="AX346">
        <f t="shared" si="231"/>
        <v>167.4</v>
      </c>
      <c r="AY346">
        <f t="shared" si="232"/>
        <v>176.1</v>
      </c>
      <c r="AZ346">
        <f t="shared" si="233"/>
        <v>161.6</v>
      </c>
      <c r="BA346">
        <f t="shared" si="234"/>
        <v>166.3</v>
      </c>
      <c r="BB346">
        <f t="shared" si="235"/>
        <v>171.4</v>
      </c>
      <c r="BC346">
        <f t="shared" si="236"/>
        <v>169.7</v>
      </c>
      <c r="BD346">
        <f t="shared" si="237"/>
        <v>168.4</v>
      </c>
      <c r="BE346">
        <f t="shared" si="238"/>
        <v>173.4</v>
      </c>
      <c r="BF346">
        <f t="shared" si="239"/>
        <v>2266.3000000000002</v>
      </c>
      <c r="BG346">
        <f t="shared" si="240"/>
        <v>526.90000000000009</v>
      </c>
      <c r="BH346">
        <f t="shared" si="241"/>
        <v>345.79999999999995</v>
      </c>
      <c r="BI346">
        <f t="shared" si="242"/>
        <v>506.6</v>
      </c>
      <c r="BJ346">
        <f t="shared" si="243"/>
        <v>529.29999999999995</v>
      </c>
      <c r="BK346">
        <f t="shared" si="244"/>
        <v>341.2</v>
      </c>
    </row>
    <row r="347" spans="1:63" x14ac:dyDescent="0.35">
      <c r="A347" t="s">
        <v>30</v>
      </c>
      <c r="B347">
        <v>2022</v>
      </c>
      <c r="C347" t="s">
        <v>41</v>
      </c>
      <c r="D347">
        <v>159.5</v>
      </c>
      <c r="E347">
        <v>204.1</v>
      </c>
      <c r="F347">
        <v>168.3</v>
      </c>
      <c r="G347">
        <v>167.9</v>
      </c>
      <c r="H347">
        <v>198.1</v>
      </c>
      <c r="I347">
        <v>169.2</v>
      </c>
      <c r="J347">
        <v>173.1</v>
      </c>
      <c r="K347">
        <v>167.1</v>
      </c>
      <c r="L347">
        <v>120.2</v>
      </c>
      <c r="M347">
        <v>195.6</v>
      </c>
      <c r="N347">
        <v>174.8</v>
      </c>
      <c r="O347">
        <v>184</v>
      </c>
      <c r="P347">
        <v>173.9</v>
      </c>
      <c r="Q347">
        <v>193.7</v>
      </c>
      <c r="R347">
        <v>183.2</v>
      </c>
      <c r="S347">
        <v>181.7</v>
      </c>
      <c r="T347">
        <v>183</v>
      </c>
      <c r="U347" t="s">
        <v>32</v>
      </c>
      <c r="V347">
        <v>179.1</v>
      </c>
      <c r="W347">
        <v>172.3</v>
      </c>
      <c r="X347">
        <v>179.4</v>
      </c>
      <c r="Y347">
        <v>166.6</v>
      </c>
      <c r="Z347">
        <v>169.3</v>
      </c>
      <c r="AA347">
        <v>175.7</v>
      </c>
      <c r="AB347">
        <v>171.1</v>
      </c>
      <c r="AC347">
        <v>172.6</v>
      </c>
      <c r="AD347">
        <v>175.3</v>
      </c>
      <c r="AE347">
        <f t="shared" si="212"/>
        <v>159.5</v>
      </c>
      <c r="AF347">
        <f t="shared" si="213"/>
        <v>204.1</v>
      </c>
      <c r="AG347">
        <f t="shared" si="214"/>
        <v>168.3</v>
      </c>
      <c r="AH347">
        <f t="shared" si="215"/>
        <v>167.9</v>
      </c>
      <c r="AI347">
        <f t="shared" si="216"/>
        <v>198.1</v>
      </c>
      <c r="AJ347">
        <f t="shared" si="217"/>
        <v>169.2</v>
      </c>
      <c r="AK347">
        <f t="shared" si="218"/>
        <v>173.1</v>
      </c>
      <c r="AL347">
        <f t="shared" si="219"/>
        <v>167.1</v>
      </c>
      <c r="AM347">
        <f t="shared" si="220"/>
        <v>120.2</v>
      </c>
      <c r="AN347">
        <f t="shared" si="221"/>
        <v>195.6</v>
      </c>
      <c r="AO347">
        <f t="shared" si="222"/>
        <v>174.8</v>
      </c>
      <c r="AP347">
        <f t="shared" si="223"/>
        <v>184</v>
      </c>
      <c r="AQ347">
        <f t="shared" si="224"/>
        <v>173.9</v>
      </c>
      <c r="AR347">
        <f t="shared" si="225"/>
        <v>193.7</v>
      </c>
      <c r="AS347">
        <f t="shared" si="226"/>
        <v>183.2</v>
      </c>
      <c r="AT347">
        <f t="shared" si="227"/>
        <v>181.7</v>
      </c>
      <c r="AU347">
        <f t="shared" si="228"/>
        <v>183</v>
      </c>
      <c r="AV347">
        <f t="shared" si="229"/>
        <v>169</v>
      </c>
      <c r="AW347">
        <f t="shared" si="230"/>
        <v>179.1</v>
      </c>
      <c r="AX347">
        <f t="shared" si="231"/>
        <v>172.3</v>
      </c>
      <c r="AY347">
        <f t="shared" si="232"/>
        <v>179.4</v>
      </c>
      <c r="AZ347">
        <f t="shared" si="233"/>
        <v>166.6</v>
      </c>
      <c r="BA347">
        <f t="shared" si="234"/>
        <v>169.3</v>
      </c>
      <c r="BB347">
        <f t="shared" si="235"/>
        <v>175.7</v>
      </c>
      <c r="BC347">
        <f t="shared" si="236"/>
        <v>171.1</v>
      </c>
      <c r="BD347">
        <f t="shared" si="237"/>
        <v>172.6</v>
      </c>
      <c r="BE347">
        <f t="shared" si="238"/>
        <v>175.3</v>
      </c>
      <c r="BF347">
        <f t="shared" si="239"/>
        <v>2255.7999999999997</v>
      </c>
      <c r="BG347">
        <f t="shared" si="240"/>
        <v>547.9</v>
      </c>
      <c r="BH347">
        <f t="shared" si="241"/>
        <v>350.5</v>
      </c>
      <c r="BI347">
        <f t="shared" si="242"/>
        <v>517</v>
      </c>
      <c r="BJ347">
        <f t="shared" si="243"/>
        <v>535.6</v>
      </c>
      <c r="BK347">
        <f t="shared" si="244"/>
        <v>345.7</v>
      </c>
    </row>
    <row r="348" spans="1:63" x14ac:dyDescent="0.35">
      <c r="A348" t="s">
        <v>33</v>
      </c>
      <c r="B348">
        <v>2022</v>
      </c>
      <c r="C348" t="s">
        <v>41</v>
      </c>
      <c r="D348">
        <v>162.1</v>
      </c>
      <c r="E348">
        <v>210.9</v>
      </c>
      <c r="F348">
        <v>170.6</v>
      </c>
      <c r="G348">
        <v>168.4</v>
      </c>
      <c r="H348">
        <v>182.5</v>
      </c>
      <c r="I348">
        <v>177.1</v>
      </c>
      <c r="J348">
        <v>213.1</v>
      </c>
      <c r="K348">
        <v>167.3</v>
      </c>
      <c r="L348">
        <v>122.2</v>
      </c>
      <c r="M348">
        <v>189.7</v>
      </c>
      <c r="N348">
        <v>160.5</v>
      </c>
      <c r="O348">
        <v>188.9</v>
      </c>
      <c r="P348">
        <v>180.4</v>
      </c>
      <c r="Q348">
        <v>198.7</v>
      </c>
      <c r="R348">
        <v>173.7</v>
      </c>
      <c r="S348">
        <v>160</v>
      </c>
      <c r="T348">
        <v>171.6</v>
      </c>
      <c r="U348">
        <v>169</v>
      </c>
      <c r="V348">
        <v>178.4</v>
      </c>
      <c r="W348">
        <v>164.2</v>
      </c>
      <c r="X348">
        <v>172.6</v>
      </c>
      <c r="Y348">
        <v>157.69999999999999</v>
      </c>
      <c r="Z348">
        <v>165.1</v>
      </c>
      <c r="AA348">
        <v>169.9</v>
      </c>
      <c r="AB348">
        <v>171.4</v>
      </c>
      <c r="AC348">
        <v>165.4</v>
      </c>
      <c r="AD348">
        <v>173.1</v>
      </c>
      <c r="AE348">
        <f t="shared" si="212"/>
        <v>162.1</v>
      </c>
      <c r="AF348">
        <f t="shared" si="213"/>
        <v>210.9</v>
      </c>
      <c r="AG348">
        <f t="shared" si="214"/>
        <v>170.6</v>
      </c>
      <c r="AH348">
        <f t="shared" si="215"/>
        <v>168.4</v>
      </c>
      <c r="AI348">
        <f t="shared" si="216"/>
        <v>182.5</v>
      </c>
      <c r="AJ348">
        <f t="shared" si="217"/>
        <v>177.1</v>
      </c>
      <c r="AK348">
        <f t="shared" si="218"/>
        <v>213.1</v>
      </c>
      <c r="AL348">
        <f t="shared" si="219"/>
        <v>167.3</v>
      </c>
      <c r="AM348">
        <f t="shared" si="220"/>
        <v>122.2</v>
      </c>
      <c r="AN348">
        <f t="shared" si="221"/>
        <v>189.7</v>
      </c>
      <c r="AO348">
        <f t="shared" si="222"/>
        <v>160.5</v>
      </c>
      <c r="AP348">
        <f t="shared" si="223"/>
        <v>188.9</v>
      </c>
      <c r="AQ348">
        <f t="shared" si="224"/>
        <v>180.4</v>
      </c>
      <c r="AR348">
        <f t="shared" si="225"/>
        <v>198.7</v>
      </c>
      <c r="AS348">
        <f t="shared" si="226"/>
        <v>173.7</v>
      </c>
      <c r="AT348">
        <f t="shared" si="227"/>
        <v>160</v>
      </c>
      <c r="AU348">
        <f t="shared" si="228"/>
        <v>171.6</v>
      </c>
      <c r="AV348">
        <f t="shared" si="229"/>
        <v>169</v>
      </c>
      <c r="AW348">
        <f t="shared" si="230"/>
        <v>178.4</v>
      </c>
      <c r="AX348">
        <f t="shared" si="231"/>
        <v>164.2</v>
      </c>
      <c r="AY348">
        <f t="shared" si="232"/>
        <v>172.6</v>
      </c>
      <c r="AZ348">
        <f t="shared" si="233"/>
        <v>157.69999999999999</v>
      </c>
      <c r="BA348">
        <f t="shared" si="234"/>
        <v>165.1</v>
      </c>
      <c r="BB348">
        <f t="shared" si="235"/>
        <v>169.9</v>
      </c>
      <c r="BC348">
        <f t="shared" si="236"/>
        <v>171.4</v>
      </c>
      <c r="BD348">
        <f t="shared" si="237"/>
        <v>165.4</v>
      </c>
      <c r="BE348">
        <f t="shared" si="238"/>
        <v>173.1</v>
      </c>
      <c r="BF348">
        <f t="shared" si="239"/>
        <v>2293.6999999999998</v>
      </c>
      <c r="BG348">
        <f t="shared" si="240"/>
        <v>505.29999999999995</v>
      </c>
      <c r="BH348">
        <f t="shared" si="241"/>
        <v>344</v>
      </c>
      <c r="BI348">
        <f t="shared" si="242"/>
        <v>503.1</v>
      </c>
      <c r="BJ348">
        <f t="shared" si="243"/>
        <v>529.19999999999993</v>
      </c>
      <c r="BK348">
        <f t="shared" si="244"/>
        <v>336.1</v>
      </c>
    </row>
    <row r="349" spans="1:63" x14ac:dyDescent="0.35">
      <c r="A349" t="s">
        <v>34</v>
      </c>
      <c r="B349">
        <v>2022</v>
      </c>
      <c r="C349" t="s">
        <v>41</v>
      </c>
      <c r="D349">
        <v>160.30000000000001</v>
      </c>
      <c r="E349">
        <v>206.5</v>
      </c>
      <c r="F349">
        <v>169.2</v>
      </c>
      <c r="G349">
        <v>168.1</v>
      </c>
      <c r="H349">
        <v>192.4</v>
      </c>
      <c r="I349">
        <v>172.9</v>
      </c>
      <c r="J349">
        <v>186.7</v>
      </c>
      <c r="K349">
        <v>167.2</v>
      </c>
      <c r="L349">
        <v>120.9</v>
      </c>
      <c r="M349">
        <v>193.6</v>
      </c>
      <c r="N349">
        <v>168.8</v>
      </c>
      <c r="O349">
        <v>186.3</v>
      </c>
      <c r="P349">
        <v>176.3</v>
      </c>
      <c r="Q349">
        <v>195</v>
      </c>
      <c r="R349">
        <v>179.5</v>
      </c>
      <c r="S349">
        <v>172.7</v>
      </c>
      <c r="T349">
        <v>178.5</v>
      </c>
      <c r="U349">
        <v>169</v>
      </c>
      <c r="V349">
        <v>178.8</v>
      </c>
      <c r="W349">
        <v>168.5</v>
      </c>
      <c r="X349">
        <v>176.8</v>
      </c>
      <c r="Y349">
        <v>161.9</v>
      </c>
      <c r="Z349">
        <v>166.9</v>
      </c>
      <c r="AA349">
        <v>172.3</v>
      </c>
      <c r="AB349">
        <v>171.2</v>
      </c>
      <c r="AC349">
        <v>169.1</v>
      </c>
      <c r="AD349">
        <v>174.3</v>
      </c>
      <c r="AE349">
        <f t="shared" si="212"/>
        <v>160.30000000000001</v>
      </c>
      <c r="AF349">
        <f t="shared" si="213"/>
        <v>206.5</v>
      </c>
      <c r="AG349">
        <f t="shared" si="214"/>
        <v>169.2</v>
      </c>
      <c r="AH349">
        <f t="shared" si="215"/>
        <v>168.1</v>
      </c>
      <c r="AI349">
        <f t="shared" si="216"/>
        <v>192.4</v>
      </c>
      <c r="AJ349">
        <f t="shared" si="217"/>
        <v>172.9</v>
      </c>
      <c r="AK349">
        <f t="shared" si="218"/>
        <v>186.7</v>
      </c>
      <c r="AL349">
        <f t="shared" si="219"/>
        <v>167.2</v>
      </c>
      <c r="AM349">
        <f t="shared" si="220"/>
        <v>120.9</v>
      </c>
      <c r="AN349">
        <f t="shared" si="221"/>
        <v>193.6</v>
      </c>
      <c r="AO349">
        <f t="shared" si="222"/>
        <v>168.8</v>
      </c>
      <c r="AP349">
        <f t="shared" si="223"/>
        <v>186.3</v>
      </c>
      <c r="AQ349">
        <f t="shared" si="224"/>
        <v>176.3</v>
      </c>
      <c r="AR349">
        <f t="shared" si="225"/>
        <v>195</v>
      </c>
      <c r="AS349">
        <f t="shared" si="226"/>
        <v>179.5</v>
      </c>
      <c r="AT349">
        <f t="shared" si="227"/>
        <v>172.7</v>
      </c>
      <c r="AU349">
        <f t="shared" si="228"/>
        <v>178.5</v>
      </c>
      <c r="AV349">
        <f t="shared" si="229"/>
        <v>169</v>
      </c>
      <c r="AW349">
        <f t="shared" si="230"/>
        <v>178.8</v>
      </c>
      <c r="AX349">
        <f t="shared" si="231"/>
        <v>168.5</v>
      </c>
      <c r="AY349">
        <f t="shared" si="232"/>
        <v>176.8</v>
      </c>
      <c r="AZ349">
        <f t="shared" si="233"/>
        <v>161.9</v>
      </c>
      <c r="BA349">
        <f t="shared" si="234"/>
        <v>166.9</v>
      </c>
      <c r="BB349">
        <f t="shared" si="235"/>
        <v>172.3</v>
      </c>
      <c r="BC349">
        <f t="shared" si="236"/>
        <v>171.2</v>
      </c>
      <c r="BD349">
        <f t="shared" si="237"/>
        <v>169.1</v>
      </c>
      <c r="BE349">
        <f t="shared" si="238"/>
        <v>174.3</v>
      </c>
      <c r="BF349">
        <f t="shared" si="239"/>
        <v>2269.2000000000003</v>
      </c>
      <c r="BG349">
        <f t="shared" si="240"/>
        <v>530.70000000000005</v>
      </c>
      <c r="BH349">
        <f t="shared" si="241"/>
        <v>348</v>
      </c>
      <c r="BI349">
        <f t="shared" si="242"/>
        <v>509.8</v>
      </c>
      <c r="BJ349">
        <f t="shared" si="243"/>
        <v>531</v>
      </c>
      <c r="BK349">
        <f t="shared" si="244"/>
        <v>340.70000000000005</v>
      </c>
    </row>
    <row r="350" spans="1:63" x14ac:dyDescent="0.35">
      <c r="A350" t="s">
        <v>30</v>
      </c>
      <c r="B350">
        <v>2022</v>
      </c>
      <c r="C350" t="s">
        <v>42</v>
      </c>
      <c r="D350">
        <v>162.9</v>
      </c>
      <c r="E350">
        <v>206.7</v>
      </c>
      <c r="F350">
        <v>169</v>
      </c>
      <c r="G350">
        <v>169.5</v>
      </c>
      <c r="H350">
        <v>194.1</v>
      </c>
      <c r="I350">
        <v>164.1</v>
      </c>
      <c r="J350">
        <v>176.9</v>
      </c>
      <c r="K350">
        <v>169</v>
      </c>
      <c r="L350">
        <v>120.8</v>
      </c>
      <c r="M350">
        <v>199.1</v>
      </c>
      <c r="N350">
        <v>175.4</v>
      </c>
      <c r="O350">
        <v>184.8</v>
      </c>
      <c r="P350">
        <v>175.5</v>
      </c>
      <c r="Q350">
        <v>194.5</v>
      </c>
      <c r="R350">
        <v>184.7</v>
      </c>
      <c r="S350">
        <v>183.3</v>
      </c>
      <c r="T350">
        <v>184.5</v>
      </c>
      <c r="U350" t="s">
        <v>32</v>
      </c>
      <c r="V350">
        <v>179.7</v>
      </c>
      <c r="W350">
        <v>173.6</v>
      </c>
      <c r="X350">
        <v>180.2</v>
      </c>
      <c r="Y350">
        <v>166.9</v>
      </c>
      <c r="Z350">
        <v>170</v>
      </c>
      <c r="AA350">
        <v>176.2</v>
      </c>
      <c r="AB350">
        <v>170.8</v>
      </c>
      <c r="AC350">
        <v>173.1</v>
      </c>
      <c r="AD350">
        <v>176.4</v>
      </c>
      <c r="AE350">
        <f t="shared" si="212"/>
        <v>162.9</v>
      </c>
      <c r="AF350">
        <f t="shared" si="213"/>
        <v>206.7</v>
      </c>
      <c r="AG350">
        <f t="shared" si="214"/>
        <v>169</v>
      </c>
      <c r="AH350">
        <f t="shared" si="215"/>
        <v>169.5</v>
      </c>
      <c r="AI350">
        <f t="shared" si="216"/>
        <v>194.1</v>
      </c>
      <c r="AJ350">
        <f t="shared" si="217"/>
        <v>164.1</v>
      </c>
      <c r="AK350">
        <f t="shared" si="218"/>
        <v>176.9</v>
      </c>
      <c r="AL350">
        <f t="shared" si="219"/>
        <v>169</v>
      </c>
      <c r="AM350">
        <f t="shared" si="220"/>
        <v>120.8</v>
      </c>
      <c r="AN350">
        <f t="shared" si="221"/>
        <v>199.1</v>
      </c>
      <c r="AO350">
        <f t="shared" si="222"/>
        <v>175.4</v>
      </c>
      <c r="AP350">
        <f t="shared" si="223"/>
        <v>184.8</v>
      </c>
      <c r="AQ350">
        <f t="shared" si="224"/>
        <v>175.5</v>
      </c>
      <c r="AR350">
        <f t="shared" si="225"/>
        <v>194.5</v>
      </c>
      <c r="AS350">
        <f t="shared" si="226"/>
        <v>184.7</v>
      </c>
      <c r="AT350">
        <f t="shared" si="227"/>
        <v>183.3</v>
      </c>
      <c r="AU350">
        <f t="shared" si="228"/>
        <v>184.5</v>
      </c>
      <c r="AV350">
        <f t="shared" si="229"/>
        <v>169.5</v>
      </c>
      <c r="AW350">
        <f t="shared" si="230"/>
        <v>179.7</v>
      </c>
      <c r="AX350">
        <f t="shared" si="231"/>
        <v>173.6</v>
      </c>
      <c r="AY350">
        <f t="shared" si="232"/>
        <v>180.2</v>
      </c>
      <c r="AZ350">
        <f t="shared" si="233"/>
        <v>166.9</v>
      </c>
      <c r="BA350">
        <f t="shared" si="234"/>
        <v>170</v>
      </c>
      <c r="BB350">
        <f t="shared" si="235"/>
        <v>176.2</v>
      </c>
      <c r="BC350">
        <f t="shared" si="236"/>
        <v>170.8</v>
      </c>
      <c r="BD350">
        <f t="shared" si="237"/>
        <v>173.1</v>
      </c>
      <c r="BE350">
        <f t="shared" si="238"/>
        <v>176.4</v>
      </c>
      <c r="BF350">
        <f t="shared" si="239"/>
        <v>2267.8000000000002</v>
      </c>
      <c r="BG350">
        <f t="shared" si="240"/>
        <v>552.5</v>
      </c>
      <c r="BH350">
        <f t="shared" si="241"/>
        <v>351</v>
      </c>
      <c r="BI350">
        <f t="shared" si="242"/>
        <v>519.29999999999995</v>
      </c>
      <c r="BJ350">
        <f t="shared" si="243"/>
        <v>537.6</v>
      </c>
      <c r="BK350">
        <f t="shared" si="244"/>
        <v>346.6</v>
      </c>
    </row>
    <row r="351" spans="1:63" x14ac:dyDescent="0.35">
      <c r="A351" t="s">
        <v>33</v>
      </c>
      <c r="B351">
        <v>2022</v>
      </c>
      <c r="C351" t="s">
        <v>42</v>
      </c>
      <c r="D351">
        <v>164.9</v>
      </c>
      <c r="E351">
        <v>213.7</v>
      </c>
      <c r="F351">
        <v>170.9</v>
      </c>
      <c r="G351">
        <v>170.1</v>
      </c>
      <c r="H351">
        <v>179.3</v>
      </c>
      <c r="I351">
        <v>167.5</v>
      </c>
      <c r="J351">
        <v>220.8</v>
      </c>
      <c r="K351">
        <v>169.2</v>
      </c>
      <c r="L351">
        <v>123.1</v>
      </c>
      <c r="M351">
        <v>193.6</v>
      </c>
      <c r="N351">
        <v>161.1</v>
      </c>
      <c r="O351">
        <v>190.4</v>
      </c>
      <c r="P351">
        <v>181.8</v>
      </c>
      <c r="Q351">
        <v>199.7</v>
      </c>
      <c r="R351">
        <v>175</v>
      </c>
      <c r="S351">
        <v>161.69999999999999</v>
      </c>
      <c r="T351">
        <v>173</v>
      </c>
      <c r="U351">
        <v>169.5</v>
      </c>
      <c r="V351">
        <v>179.2</v>
      </c>
      <c r="W351">
        <v>165</v>
      </c>
      <c r="X351">
        <v>173.8</v>
      </c>
      <c r="Y351">
        <v>158.19999999999999</v>
      </c>
      <c r="Z351">
        <v>165.8</v>
      </c>
      <c r="AA351">
        <v>170.9</v>
      </c>
      <c r="AB351">
        <v>171.1</v>
      </c>
      <c r="AC351">
        <v>166.1</v>
      </c>
      <c r="AD351">
        <v>174.1</v>
      </c>
      <c r="AE351">
        <f t="shared" si="212"/>
        <v>164.9</v>
      </c>
      <c r="AF351">
        <f t="shared" si="213"/>
        <v>213.7</v>
      </c>
      <c r="AG351">
        <f t="shared" si="214"/>
        <v>170.9</v>
      </c>
      <c r="AH351">
        <f t="shared" si="215"/>
        <v>170.1</v>
      </c>
      <c r="AI351">
        <f t="shared" si="216"/>
        <v>179.3</v>
      </c>
      <c r="AJ351">
        <f t="shared" si="217"/>
        <v>167.5</v>
      </c>
      <c r="AK351">
        <f t="shared" si="218"/>
        <v>220.8</v>
      </c>
      <c r="AL351">
        <f t="shared" si="219"/>
        <v>169.2</v>
      </c>
      <c r="AM351">
        <f t="shared" si="220"/>
        <v>123.1</v>
      </c>
      <c r="AN351">
        <f t="shared" si="221"/>
        <v>193.6</v>
      </c>
      <c r="AO351">
        <f t="shared" si="222"/>
        <v>161.1</v>
      </c>
      <c r="AP351">
        <f t="shared" si="223"/>
        <v>190.4</v>
      </c>
      <c r="AQ351">
        <f t="shared" si="224"/>
        <v>181.8</v>
      </c>
      <c r="AR351">
        <f t="shared" si="225"/>
        <v>199.7</v>
      </c>
      <c r="AS351">
        <f t="shared" si="226"/>
        <v>175</v>
      </c>
      <c r="AT351">
        <f t="shared" si="227"/>
        <v>161.69999999999999</v>
      </c>
      <c r="AU351">
        <f t="shared" si="228"/>
        <v>173</v>
      </c>
      <c r="AV351">
        <f t="shared" si="229"/>
        <v>169.5</v>
      </c>
      <c r="AW351">
        <f t="shared" si="230"/>
        <v>179.2</v>
      </c>
      <c r="AX351">
        <f t="shared" si="231"/>
        <v>165</v>
      </c>
      <c r="AY351">
        <f t="shared" si="232"/>
        <v>173.8</v>
      </c>
      <c r="AZ351">
        <f t="shared" si="233"/>
        <v>158.19999999999999</v>
      </c>
      <c r="BA351">
        <f t="shared" si="234"/>
        <v>165.8</v>
      </c>
      <c r="BB351">
        <f t="shared" si="235"/>
        <v>170.9</v>
      </c>
      <c r="BC351">
        <f t="shared" si="236"/>
        <v>171.1</v>
      </c>
      <c r="BD351">
        <f t="shared" si="237"/>
        <v>166.1</v>
      </c>
      <c r="BE351">
        <f t="shared" si="238"/>
        <v>174.1</v>
      </c>
      <c r="BF351">
        <f t="shared" si="239"/>
        <v>2306.4</v>
      </c>
      <c r="BG351">
        <f t="shared" si="240"/>
        <v>509.7</v>
      </c>
      <c r="BH351">
        <f t="shared" si="241"/>
        <v>344.9</v>
      </c>
      <c r="BI351">
        <f t="shared" si="242"/>
        <v>505.4</v>
      </c>
      <c r="BJ351">
        <f t="shared" si="243"/>
        <v>531.6</v>
      </c>
      <c r="BK351">
        <f t="shared" si="244"/>
        <v>337.4</v>
      </c>
    </row>
    <row r="352" spans="1:63" x14ac:dyDescent="0.35">
      <c r="A352" t="s">
        <v>34</v>
      </c>
      <c r="B352">
        <v>2022</v>
      </c>
      <c r="C352" t="s">
        <v>42</v>
      </c>
      <c r="D352">
        <v>163.5</v>
      </c>
      <c r="E352">
        <v>209.2</v>
      </c>
      <c r="F352">
        <v>169.7</v>
      </c>
      <c r="G352">
        <v>169.7</v>
      </c>
      <c r="H352">
        <v>188.7</v>
      </c>
      <c r="I352">
        <v>165.7</v>
      </c>
      <c r="J352">
        <v>191.8</v>
      </c>
      <c r="K352">
        <v>169.1</v>
      </c>
      <c r="L352">
        <v>121.6</v>
      </c>
      <c r="M352">
        <v>197.3</v>
      </c>
      <c r="N352">
        <v>169.4</v>
      </c>
      <c r="O352">
        <v>187.4</v>
      </c>
      <c r="P352">
        <v>177.8</v>
      </c>
      <c r="Q352">
        <v>195.9</v>
      </c>
      <c r="R352">
        <v>180.9</v>
      </c>
      <c r="S352">
        <v>174.3</v>
      </c>
      <c r="T352">
        <v>179.9</v>
      </c>
      <c r="U352">
        <v>169.5</v>
      </c>
      <c r="V352">
        <v>179.5</v>
      </c>
      <c r="W352">
        <v>169.5</v>
      </c>
      <c r="X352">
        <v>177.8</v>
      </c>
      <c r="Y352">
        <v>162.30000000000001</v>
      </c>
      <c r="Z352">
        <v>167.6</v>
      </c>
      <c r="AA352">
        <v>173.1</v>
      </c>
      <c r="AB352">
        <v>170.9</v>
      </c>
      <c r="AC352">
        <v>169.7</v>
      </c>
      <c r="AD352">
        <v>175.3</v>
      </c>
      <c r="AE352">
        <f t="shared" si="212"/>
        <v>163.5</v>
      </c>
      <c r="AF352">
        <f t="shared" si="213"/>
        <v>209.2</v>
      </c>
      <c r="AG352">
        <f t="shared" si="214"/>
        <v>169.7</v>
      </c>
      <c r="AH352">
        <f t="shared" si="215"/>
        <v>169.7</v>
      </c>
      <c r="AI352">
        <f t="shared" si="216"/>
        <v>188.7</v>
      </c>
      <c r="AJ352">
        <f t="shared" si="217"/>
        <v>165.7</v>
      </c>
      <c r="AK352">
        <f t="shared" si="218"/>
        <v>191.8</v>
      </c>
      <c r="AL352">
        <f t="shared" si="219"/>
        <v>169.1</v>
      </c>
      <c r="AM352">
        <f t="shared" si="220"/>
        <v>121.6</v>
      </c>
      <c r="AN352">
        <f t="shared" si="221"/>
        <v>197.3</v>
      </c>
      <c r="AO352">
        <f t="shared" si="222"/>
        <v>169.4</v>
      </c>
      <c r="AP352">
        <f t="shared" si="223"/>
        <v>187.4</v>
      </c>
      <c r="AQ352">
        <f t="shared" si="224"/>
        <v>177.8</v>
      </c>
      <c r="AR352">
        <f t="shared" si="225"/>
        <v>195.9</v>
      </c>
      <c r="AS352">
        <f t="shared" si="226"/>
        <v>180.9</v>
      </c>
      <c r="AT352">
        <f t="shared" si="227"/>
        <v>174.3</v>
      </c>
      <c r="AU352">
        <f t="shared" si="228"/>
        <v>179.9</v>
      </c>
      <c r="AV352">
        <f t="shared" si="229"/>
        <v>169.5</v>
      </c>
      <c r="AW352">
        <f t="shared" si="230"/>
        <v>179.5</v>
      </c>
      <c r="AX352">
        <f t="shared" si="231"/>
        <v>169.5</v>
      </c>
      <c r="AY352">
        <f t="shared" si="232"/>
        <v>177.8</v>
      </c>
      <c r="AZ352">
        <f t="shared" si="233"/>
        <v>162.30000000000001</v>
      </c>
      <c r="BA352">
        <f t="shared" si="234"/>
        <v>167.6</v>
      </c>
      <c r="BB352">
        <f t="shared" si="235"/>
        <v>173.1</v>
      </c>
      <c r="BC352">
        <f t="shared" si="236"/>
        <v>170.9</v>
      </c>
      <c r="BD352">
        <f t="shared" si="237"/>
        <v>169.7</v>
      </c>
      <c r="BE352">
        <f t="shared" si="238"/>
        <v>175.3</v>
      </c>
      <c r="BF352">
        <f t="shared" si="239"/>
        <v>2280.9</v>
      </c>
      <c r="BG352">
        <f t="shared" si="240"/>
        <v>535.1</v>
      </c>
      <c r="BH352">
        <f t="shared" si="241"/>
        <v>348.70000000000005</v>
      </c>
      <c r="BI352">
        <f t="shared" si="242"/>
        <v>512.1</v>
      </c>
      <c r="BJ352">
        <f t="shared" si="243"/>
        <v>533.20000000000005</v>
      </c>
      <c r="BK352">
        <f t="shared" si="244"/>
        <v>341.8</v>
      </c>
    </row>
    <row r="353" spans="1:63" x14ac:dyDescent="0.35">
      <c r="A353" t="s">
        <v>30</v>
      </c>
      <c r="B353">
        <v>2022</v>
      </c>
      <c r="C353" t="s">
        <v>43</v>
      </c>
      <c r="D353">
        <v>164.7</v>
      </c>
      <c r="E353">
        <v>208.8</v>
      </c>
      <c r="F353">
        <v>170.3</v>
      </c>
      <c r="G353">
        <v>170.9</v>
      </c>
      <c r="H353">
        <v>191.6</v>
      </c>
      <c r="I353">
        <v>162.19999999999999</v>
      </c>
      <c r="J353">
        <v>184.8</v>
      </c>
      <c r="K353">
        <v>169.7</v>
      </c>
      <c r="L353">
        <v>121.1</v>
      </c>
      <c r="M353">
        <v>201.6</v>
      </c>
      <c r="N353">
        <v>175.8</v>
      </c>
      <c r="O353">
        <v>185.6</v>
      </c>
      <c r="P353">
        <v>177.4</v>
      </c>
      <c r="Q353">
        <v>194.9</v>
      </c>
      <c r="R353">
        <v>186.1</v>
      </c>
      <c r="S353">
        <v>184.4</v>
      </c>
      <c r="T353">
        <v>185.9</v>
      </c>
      <c r="U353" t="s">
        <v>32</v>
      </c>
      <c r="V353">
        <v>180.8</v>
      </c>
      <c r="W353">
        <v>174.4</v>
      </c>
      <c r="X353">
        <v>181.2</v>
      </c>
      <c r="Y353">
        <v>167.4</v>
      </c>
      <c r="Z353">
        <v>170.6</v>
      </c>
      <c r="AA353">
        <v>176.5</v>
      </c>
      <c r="AB353">
        <v>172</v>
      </c>
      <c r="AC353">
        <v>173.9</v>
      </c>
      <c r="AD353">
        <v>177.9</v>
      </c>
      <c r="AE353">
        <f t="shared" si="212"/>
        <v>164.7</v>
      </c>
      <c r="AF353">
        <f t="shared" si="213"/>
        <v>208.8</v>
      </c>
      <c r="AG353">
        <f t="shared" si="214"/>
        <v>170.3</v>
      </c>
      <c r="AH353">
        <f t="shared" si="215"/>
        <v>170.9</v>
      </c>
      <c r="AI353">
        <f t="shared" si="216"/>
        <v>191.6</v>
      </c>
      <c r="AJ353">
        <f t="shared" si="217"/>
        <v>162.19999999999999</v>
      </c>
      <c r="AK353">
        <f t="shared" si="218"/>
        <v>184.8</v>
      </c>
      <c r="AL353">
        <f t="shared" si="219"/>
        <v>169.7</v>
      </c>
      <c r="AM353">
        <f t="shared" si="220"/>
        <v>121.1</v>
      </c>
      <c r="AN353">
        <f t="shared" si="221"/>
        <v>201.6</v>
      </c>
      <c r="AO353">
        <f t="shared" si="222"/>
        <v>175.8</v>
      </c>
      <c r="AP353">
        <f t="shared" si="223"/>
        <v>185.6</v>
      </c>
      <c r="AQ353">
        <f t="shared" si="224"/>
        <v>177.4</v>
      </c>
      <c r="AR353">
        <f t="shared" si="225"/>
        <v>194.9</v>
      </c>
      <c r="AS353">
        <f t="shared" si="226"/>
        <v>186.1</v>
      </c>
      <c r="AT353">
        <f t="shared" si="227"/>
        <v>184.4</v>
      </c>
      <c r="AU353">
        <f t="shared" si="228"/>
        <v>185.9</v>
      </c>
      <c r="AV353">
        <f t="shared" si="229"/>
        <v>171.2</v>
      </c>
      <c r="AW353">
        <f t="shared" si="230"/>
        <v>180.8</v>
      </c>
      <c r="AX353">
        <f t="shared" si="231"/>
        <v>174.4</v>
      </c>
      <c r="AY353">
        <f t="shared" si="232"/>
        <v>181.2</v>
      </c>
      <c r="AZ353">
        <f t="shared" si="233"/>
        <v>167.4</v>
      </c>
      <c r="BA353">
        <f t="shared" si="234"/>
        <v>170.6</v>
      </c>
      <c r="BB353">
        <f t="shared" si="235"/>
        <v>176.5</v>
      </c>
      <c r="BC353">
        <f t="shared" si="236"/>
        <v>172</v>
      </c>
      <c r="BD353">
        <f t="shared" si="237"/>
        <v>173.9</v>
      </c>
      <c r="BE353">
        <f t="shared" si="238"/>
        <v>177.9</v>
      </c>
      <c r="BF353">
        <f t="shared" si="239"/>
        <v>2284.5</v>
      </c>
      <c r="BG353">
        <f t="shared" si="240"/>
        <v>556.4</v>
      </c>
      <c r="BH353">
        <f t="shared" si="241"/>
        <v>353.2</v>
      </c>
      <c r="BI353">
        <f t="shared" si="242"/>
        <v>522.09999999999991</v>
      </c>
      <c r="BJ353">
        <f t="shared" si="243"/>
        <v>539.4</v>
      </c>
      <c r="BK353">
        <f t="shared" si="244"/>
        <v>348.20000000000005</v>
      </c>
    </row>
    <row r="354" spans="1:63" x14ac:dyDescent="0.35">
      <c r="A354" t="s">
        <v>33</v>
      </c>
      <c r="B354">
        <v>2022</v>
      </c>
      <c r="C354" t="s">
        <v>43</v>
      </c>
      <c r="D354">
        <v>166.4</v>
      </c>
      <c r="E354">
        <v>214.9</v>
      </c>
      <c r="F354">
        <v>171.9</v>
      </c>
      <c r="G354">
        <v>171</v>
      </c>
      <c r="H354">
        <v>177.7</v>
      </c>
      <c r="I354">
        <v>165.7</v>
      </c>
      <c r="J354">
        <v>228.6</v>
      </c>
      <c r="K354">
        <v>169.9</v>
      </c>
      <c r="L354">
        <v>123.4</v>
      </c>
      <c r="M354">
        <v>196.4</v>
      </c>
      <c r="N354">
        <v>161.6</v>
      </c>
      <c r="O354">
        <v>191.5</v>
      </c>
      <c r="P354">
        <v>183.3</v>
      </c>
      <c r="Q354">
        <v>200.1</v>
      </c>
      <c r="R354">
        <v>175.5</v>
      </c>
      <c r="S354">
        <v>162.6</v>
      </c>
      <c r="T354">
        <v>173.6</v>
      </c>
      <c r="U354">
        <v>171.2</v>
      </c>
      <c r="V354">
        <v>180</v>
      </c>
      <c r="W354">
        <v>166</v>
      </c>
      <c r="X354">
        <v>174.7</v>
      </c>
      <c r="Y354">
        <v>158.80000000000001</v>
      </c>
      <c r="Z354">
        <v>166.3</v>
      </c>
      <c r="AA354">
        <v>171.2</v>
      </c>
      <c r="AB354">
        <v>172.3</v>
      </c>
      <c r="AC354">
        <v>166.8</v>
      </c>
      <c r="AD354">
        <v>175.3</v>
      </c>
      <c r="AE354">
        <f t="shared" si="212"/>
        <v>166.4</v>
      </c>
      <c r="AF354">
        <f t="shared" si="213"/>
        <v>214.9</v>
      </c>
      <c r="AG354">
        <f t="shared" si="214"/>
        <v>171.9</v>
      </c>
      <c r="AH354">
        <f t="shared" si="215"/>
        <v>171</v>
      </c>
      <c r="AI354">
        <f t="shared" si="216"/>
        <v>177.7</v>
      </c>
      <c r="AJ354">
        <f t="shared" si="217"/>
        <v>165.7</v>
      </c>
      <c r="AK354">
        <f t="shared" si="218"/>
        <v>228.6</v>
      </c>
      <c r="AL354">
        <f t="shared" si="219"/>
        <v>169.9</v>
      </c>
      <c r="AM354">
        <f t="shared" si="220"/>
        <v>123.4</v>
      </c>
      <c r="AN354">
        <f t="shared" si="221"/>
        <v>196.4</v>
      </c>
      <c r="AO354">
        <f t="shared" si="222"/>
        <v>161.6</v>
      </c>
      <c r="AP354">
        <f t="shared" si="223"/>
        <v>191.5</v>
      </c>
      <c r="AQ354">
        <f t="shared" si="224"/>
        <v>183.3</v>
      </c>
      <c r="AR354">
        <f t="shared" si="225"/>
        <v>200.1</v>
      </c>
      <c r="AS354">
        <f t="shared" si="226"/>
        <v>175.5</v>
      </c>
      <c r="AT354">
        <f t="shared" si="227"/>
        <v>162.6</v>
      </c>
      <c r="AU354">
        <f t="shared" si="228"/>
        <v>173.6</v>
      </c>
      <c r="AV354">
        <f t="shared" si="229"/>
        <v>171.2</v>
      </c>
      <c r="AW354">
        <f t="shared" si="230"/>
        <v>180</v>
      </c>
      <c r="AX354">
        <f t="shared" si="231"/>
        <v>166</v>
      </c>
      <c r="AY354">
        <f t="shared" si="232"/>
        <v>174.7</v>
      </c>
      <c r="AZ354">
        <f t="shared" si="233"/>
        <v>158.80000000000001</v>
      </c>
      <c r="BA354">
        <f t="shared" si="234"/>
        <v>166.3</v>
      </c>
      <c r="BB354">
        <f t="shared" si="235"/>
        <v>171.2</v>
      </c>
      <c r="BC354">
        <f t="shared" si="236"/>
        <v>172.3</v>
      </c>
      <c r="BD354">
        <f t="shared" si="237"/>
        <v>166.8</v>
      </c>
      <c r="BE354">
        <f t="shared" si="238"/>
        <v>175.3</v>
      </c>
      <c r="BF354">
        <f t="shared" si="239"/>
        <v>2322.3000000000002</v>
      </c>
      <c r="BG354">
        <f t="shared" si="240"/>
        <v>511.70000000000005</v>
      </c>
      <c r="BH354">
        <f t="shared" si="241"/>
        <v>347</v>
      </c>
      <c r="BI354">
        <f t="shared" si="242"/>
        <v>508.4</v>
      </c>
      <c r="BJ354">
        <f t="shared" si="243"/>
        <v>533.20000000000005</v>
      </c>
      <c r="BK354">
        <f t="shared" si="244"/>
        <v>338.8</v>
      </c>
    </row>
    <row r="355" spans="1:63" x14ac:dyDescent="0.35">
      <c r="A355" t="s">
        <v>34</v>
      </c>
      <c r="B355">
        <v>2022</v>
      </c>
      <c r="C355" t="s">
        <v>43</v>
      </c>
      <c r="D355">
        <v>165.2</v>
      </c>
      <c r="E355">
        <v>210.9</v>
      </c>
      <c r="F355">
        <v>170.9</v>
      </c>
      <c r="G355">
        <v>170.9</v>
      </c>
      <c r="H355">
        <v>186.5</v>
      </c>
      <c r="I355">
        <v>163.80000000000001</v>
      </c>
      <c r="J355">
        <v>199.7</v>
      </c>
      <c r="K355">
        <v>169.8</v>
      </c>
      <c r="L355">
        <v>121.9</v>
      </c>
      <c r="M355">
        <v>199.9</v>
      </c>
      <c r="N355">
        <v>169.9</v>
      </c>
      <c r="O355">
        <v>188.3</v>
      </c>
      <c r="P355">
        <v>179.6</v>
      </c>
      <c r="Q355">
        <v>196.3</v>
      </c>
      <c r="R355">
        <v>181.9</v>
      </c>
      <c r="S355">
        <v>175.3</v>
      </c>
      <c r="T355">
        <v>181</v>
      </c>
      <c r="U355">
        <v>171.2</v>
      </c>
      <c r="V355">
        <v>180.5</v>
      </c>
      <c r="W355">
        <v>170.4</v>
      </c>
      <c r="X355">
        <v>178.7</v>
      </c>
      <c r="Y355">
        <v>162.9</v>
      </c>
      <c r="Z355">
        <v>168.2</v>
      </c>
      <c r="AA355">
        <v>173.4</v>
      </c>
      <c r="AB355">
        <v>172.1</v>
      </c>
      <c r="AC355">
        <v>170.5</v>
      </c>
      <c r="AD355">
        <v>176.7</v>
      </c>
      <c r="AE355">
        <f t="shared" si="212"/>
        <v>165.2</v>
      </c>
      <c r="AF355">
        <f t="shared" si="213"/>
        <v>210.9</v>
      </c>
      <c r="AG355">
        <f t="shared" si="214"/>
        <v>170.9</v>
      </c>
      <c r="AH355">
        <f t="shared" si="215"/>
        <v>170.9</v>
      </c>
      <c r="AI355">
        <f t="shared" si="216"/>
        <v>186.5</v>
      </c>
      <c r="AJ355">
        <f t="shared" si="217"/>
        <v>163.80000000000001</v>
      </c>
      <c r="AK355">
        <f t="shared" si="218"/>
        <v>199.7</v>
      </c>
      <c r="AL355">
        <f t="shared" si="219"/>
        <v>169.8</v>
      </c>
      <c r="AM355">
        <f t="shared" si="220"/>
        <v>121.9</v>
      </c>
      <c r="AN355">
        <f t="shared" si="221"/>
        <v>199.9</v>
      </c>
      <c r="AO355">
        <f t="shared" si="222"/>
        <v>169.9</v>
      </c>
      <c r="AP355">
        <f t="shared" si="223"/>
        <v>188.3</v>
      </c>
      <c r="AQ355">
        <f t="shared" si="224"/>
        <v>179.6</v>
      </c>
      <c r="AR355">
        <f t="shared" si="225"/>
        <v>196.3</v>
      </c>
      <c r="AS355">
        <f t="shared" si="226"/>
        <v>181.9</v>
      </c>
      <c r="AT355">
        <f t="shared" si="227"/>
        <v>175.3</v>
      </c>
      <c r="AU355">
        <f t="shared" si="228"/>
        <v>181</v>
      </c>
      <c r="AV355">
        <f t="shared" si="229"/>
        <v>171.2</v>
      </c>
      <c r="AW355">
        <f t="shared" si="230"/>
        <v>180.5</v>
      </c>
      <c r="AX355">
        <f t="shared" si="231"/>
        <v>170.4</v>
      </c>
      <c r="AY355">
        <f t="shared" si="232"/>
        <v>178.7</v>
      </c>
      <c r="AZ355">
        <f t="shared" si="233"/>
        <v>162.9</v>
      </c>
      <c r="BA355">
        <f t="shared" si="234"/>
        <v>168.2</v>
      </c>
      <c r="BB355">
        <f t="shared" si="235"/>
        <v>173.4</v>
      </c>
      <c r="BC355">
        <f t="shared" si="236"/>
        <v>172.1</v>
      </c>
      <c r="BD355">
        <f t="shared" si="237"/>
        <v>170.5</v>
      </c>
      <c r="BE355">
        <f t="shared" si="238"/>
        <v>176.7</v>
      </c>
      <c r="BF355">
        <f t="shared" si="239"/>
        <v>2297.3000000000002</v>
      </c>
      <c r="BG355">
        <f t="shared" si="240"/>
        <v>538.20000000000005</v>
      </c>
      <c r="BH355">
        <f t="shared" si="241"/>
        <v>350.79999999999995</v>
      </c>
      <c r="BI355">
        <f t="shared" si="242"/>
        <v>515</v>
      </c>
      <c r="BJ355">
        <f t="shared" si="243"/>
        <v>535</v>
      </c>
      <c r="BK355">
        <f t="shared" si="244"/>
        <v>343.4</v>
      </c>
    </row>
    <row r="356" spans="1:63" x14ac:dyDescent="0.35">
      <c r="A356" t="s">
        <v>30</v>
      </c>
      <c r="B356">
        <v>2022</v>
      </c>
      <c r="C356" t="s">
        <v>45</v>
      </c>
      <c r="D356">
        <v>166.9</v>
      </c>
      <c r="E356">
        <v>207.2</v>
      </c>
      <c r="F356">
        <v>180.2</v>
      </c>
      <c r="G356">
        <v>172.3</v>
      </c>
      <c r="H356">
        <v>194</v>
      </c>
      <c r="I356">
        <v>159.1</v>
      </c>
      <c r="J356">
        <v>171.6</v>
      </c>
      <c r="K356">
        <v>170.2</v>
      </c>
      <c r="L356">
        <v>121.5</v>
      </c>
      <c r="M356">
        <v>204.8</v>
      </c>
      <c r="N356">
        <v>176.4</v>
      </c>
      <c r="O356">
        <v>186.9</v>
      </c>
      <c r="P356">
        <v>176.6</v>
      </c>
      <c r="Q356">
        <v>195.5</v>
      </c>
      <c r="R356">
        <v>187.2</v>
      </c>
      <c r="S356">
        <v>185.2</v>
      </c>
      <c r="T356">
        <v>186.9</v>
      </c>
      <c r="U356" t="s">
        <v>32</v>
      </c>
      <c r="V356">
        <v>181.9</v>
      </c>
      <c r="W356">
        <v>175.5</v>
      </c>
      <c r="X356">
        <v>182.3</v>
      </c>
      <c r="Y356">
        <v>167.5</v>
      </c>
      <c r="Z356">
        <v>170.8</v>
      </c>
      <c r="AA356">
        <v>176.9</v>
      </c>
      <c r="AB356">
        <v>173.4</v>
      </c>
      <c r="AC356">
        <v>174.6</v>
      </c>
      <c r="AD356">
        <v>177.8</v>
      </c>
      <c r="AE356">
        <f t="shared" si="212"/>
        <v>166.9</v>
      </c>
      <c r="AF356">
        <f t="shared" si="213"/>
        <v>207.2</v>
      </c>
      <c r="AG356">
        <f t="shared" si="214"/>
        <v>180.2</v>
      </c>
      <c r="AH356">
        <f t="shared" si="215"/>
        <v>172.3</v>
      </c>
      <c r="AI356">
        <f t="shared" si="216"/>
        <v>194</v>
      </c>
      <c r="AJ356">
        <f t="shared" si="217"/>
        <v>159.1</v>
      </c>
      <c r="AK356">
        <f t="shared" si="218"/>
        <v>171.6</v>
      </c>
      <c r="AL356">
        <f t="shared" si="219"/>
        <v>170.2</v>
      </c>
      <c r="AM356">
        <f t="shared" si="220"/>
        <v>121.5</v>
      </c>
      <c r="AN356">
        <f t="shared" si="221"/>
        <v>204.8</v>
      </c>
      <c r="AO356">
        <f t="shared" si="222"/>
        <v>176.4</v>
      </c>
      <c r="AP356">
        <f t="shared" si="223"/>
        <v>186.9</v>
      </c>
      <c r="AQ356">
        <f t="shared" si="224"/>
        <v>176.6</v>
      </c>
      <c r="AR356">
        <f t="shared" si="225"/>
        <v>195.5</v>
      </c>
      <c r="AS356">
        <f t="shared" si="226"/>
        <v>187.2</v>
      </c>
      <c r="AT356">
        <f t="shared" si="227"/>
        <v>185.2</v>
      </c>
      <c r="AU356">
        <f t="shared" si="228"/>
        <v>186.9</v>
      </c>
      <c r="AV356">
        <f t="shared" si="229"/>
        <v>171.8</v>
      </c>
      <c r="AW356">
        <f t="shared" si="230"/>
        <v>181.9</v>
      </c>
      <c r="AX356">
        <f t="shared" si="231"/>
        <v>175.5</v>
      </c>
      <c r="AY356">
        <f t="shared" si="232"/>
        <v>182.3</v>
      </c>
      <c r="AZ356">
        <f t="shared" si="233"/>
        <v>167.5</v>
      </c>
      <c r="BA356">
        <f t="shared" si="234"/>
        <v>170.8</v>
      </c>
      <c r="BB356">
        <f t="shared" si="235"/>
        <v>176.9</v>
      </c>
      <c r="BC356">
        <f t="shared" si="236"/>
        <v>173.4</v>
      </c>
      <c r="BD356">
        <f t="shared" si="237"/>
        <v>174.6</v>
      </c>
      <c r="BE356">
        <f t="shared" si="238"/>
        <v>177.8</v>
      </c>
      <c r="BF356">
        <f t="shared" si="239"/>
        <v>2287.6999999999998</v>
      </c>
      <c r="BG356">
        <f t="shared" si="240"/>
        <v>559.29999999999995</v>
      </c>
      <c r="BH356">
        <f t="shared" si="241"/>
        <v>355.70000000000005</v>
      </c>
      <c r="BI356">
        <f t="shared" si="242"/>
        <v>524.20000000000005</v>
      </c>
      <c r="BJ356">
        <f t="shared" si="243"/>
        <v>540.9</v>
      </c>
      <c r="BK356">
        <f t="shared" si="244"/>
        <v>349.4</v>
      </c>
    </row>
    <row r="357" spans="1:63" x14ac:dyDescent="0.35">
      <c r="A357" t="s">
        <v>33</v>
      </c>
      <c r="B357">
        <v>2022</v>
      </c>
      <c r="C357" t="s">
        <v>45</v>
      </c>
      <c r="D357">
        <v>168.4</v>
      </c>
      <c r="E357">
        <v>213.4</v>
      </c>
      <c r="F357">
        <v>183.2</v>
      </c>
      <c r="G357">
        <v>172.3</v>
      </c>
      <c r="H357">
        <v>180</v>
      </c>
      <c r="I357">
        <v>162.6</v>
      </c>
      <c r="J357">
        <v>205.5</v>
      </c>
      <c r="K357">
        <v>171</v>
      </c>
      <c r="L357">
        <v>123.4</v>
      </c>
      <c r="M357">
        <v>198.8</v>
      </c>
      <c r="N357">
        <v>162.1</v>
      </c>
      <c r="O357">
        <v>192.4</v>
      </c>
      <c r="P357">
        <v>181.3</v>
      </c>
      <c r="Q357">
        <v>200.6</v>
      </c>
      <c r="R357">
        <v>176.7</v>
      </c>
      <c r="S357">
        <v>163.5</v>
      </c>
      <c r="T357">
        <v>174.7</v>
      </c>
      <c r="U357">
        <v>171.8</v>
      </c>
      <c r="V357">
        <v>180.3</v>
      </c>
      <c r="W357">
        <v>166.9</v>
      </c>
      <c r="X357">
        <v>175.8</v>
      </c>
      <c r="Y357">
        <v>158.9</v>
      </c>
      <c r="Z357">
        <v>166.7</v>
      </c>
      <c r="AA357">
        <v>171.5</v>
      </c>
      <c r="AB357">
        <v>173.8</v>
      </c>
      <c r="AC357">
        <v>167.4</v>
      </c>
      <c r="AD357">
        <v>174.1</v>
      </c>
      <c r="AE357">
        <f t="shared" si="212"/>
        <v>168.4</v>
      </c>
      <c r="AF357">
        <f t="shared" si="213"/>
        <v>213.4</v>
      </c>
      <c r="AG357">
        <f t="shared" si="214"/>
        <v>183.2</v>
      </c>
      <c r="AH357">
        <f t="shared" si="215"/>
        <v>172.3</v>
      </c>
      <c r="AI357">
        <f t="shared" si="216"/>
        <v>180</v>
      </c>
      <c r="AJ357">
        <f t="shared" si="217"/>
        <v>162.6</v>
      </c>
      <c r="AK357">
        <f t="shared" si="218"/>
        <v>205.5</v>
      </c>
      <c r="AL357">
        <f t="shared" si="219"/>
        <v>171</v>
      </c>
      <c r="AM357">
        <f t="shared" si="220"/>
        <v>123.4</v>
      </c>
      <c r="AN357">
        <f t="shared" si="221"/>
        <v>198.8</v>
      </c>
      <c r="AO357">
        <f t="shared" si="222"/>
        <v>162.1</v>
      </c>
      <c r="AP357">
        <f t="shared" si="223"/>
        <v>192.4</v>
      </c>
      <c r="AQ357">
        <f t="shared" si="224"/>
        <v>181.3</v>
      </c>
      <c r="AR357">
        <f t="shared" si="225"/>
        <v>200.6</v>
      </c>
      <c r="AS357">
        <f t="shared" si="226"/>
        <v>176.7</v>
      </c>
      <c r="AT357">
        <f t="shared" si="227"/>
        <v>163.5</v>
      </c>
      <c r="AU357">
        <f t="shared" si="228"/>
        <v>174.7</v>
      </c>
      <c r="AV357">
        <f t="shared" si="229"/>
        <v>171.8</v>
      </c>
      <c r="AW357">
        <f t="shared" si="230"/>
        <v>180.3</v>
      </c>
      <c r="AX357">
        <f t="shared" si="231"/>
        <v>166.9</v>
      </c>
      <c r="AY357">
        <f t="shared" si="232"/>
        <v>175.8</v>
      </c>
      <c r="AZ357">
        <f t="shared" si="233"/>
        <v>158.9</v>
      </c>
      <c r="BA357">
        <f t="shared" si="234"/>
        <v>166.7</v>
      </c>
      <c r="BB357">
        <f t="shared" si="235"/>
        <v>171.5</v>
      </c>
      <c r="BC357">
        <f t="shared" si="236"/>
        <v>173.8</v>
      </c>
      <c r="BD357">
        <f t="shared" si="237"/>
        <v>167.4</v>
      </c>
      <c r="BE357">
        <f t="shared" si="238"/>
        <v>174.1</v>
      </c>
      <c r="BF357">
        <f t="shared" si="239"/>
        <v>2314.4</v>
      </c>
      <c r="BG357">
        <f t="shared" si="240"/>
        <v>514.9</v>
      </c>
      <c r="BH357">
        <f t="shared" si="241"/>
        <v>349.6</v>
      </c>
      <c r="BI357">
        <f t="shared" si="242"/>
        <v>510.2</v>
      </c>
      <c r="BJ357">
        <f t="shared" si="243"/>
        <v>534.69999999999993</v>
      </c>
      <c r="BK357">
        <f t="shared" si="244"/>
        <v>339.20000000000005</v>
      </c>
    </row>
    <row r="358" spans="1:63" x14ac:dyDescent="0.35">
      <c r="A358" t="s">
        <v>34</v>
      </c>
      <c r="B358">
        <v>2022</v>
      </c>
      <c r="C358" t="s">
        <v>45</v>
      </c>
      <c r="D358">
        <v>167.4</v>
      </c>
      <c r="E358">
        <v>209.4</v>
      </c>
      <c r="F358">
        <v>181.4</v>
      </c>
      <c r="G358">
        <v>172.3</v>
      </c>
      <c r="H358">
        <v>188.9</v>
      </c>
      <c r="I358">
        <v>160.69999999999999</v>
      </c>
      <c r="J358">
        <v>183.1</v>
      </c>
      <c r="K358">
        <v>170.5</v>
      </c>
      <c r="L358">
        <v>122.1</v>
      </c>
      <c r="M358">
        <v>202.8</v>
      </c>
      <c r="N358">
        <v>170.4</v>
      </c>
      <c r="O358">
        <v>189.5</v>
      </c>
      <c r="P358">
        <v>178.3</v>
      </c>
      <c r="Q358">
        <v>196.9</v>
      </c>
      <c r="R358">
        <v>183.1</v>
      </c>
      <c r="S358">
        <v>176.2</v>
      </c>
      <c r="T358">
        <v>182.1</v>
      </c>
      <c r="U358">
        <v>171.8</v>
      </c>
      <c r="V358">
        <v>181.3</v>
      </c>
      <c r="W358">
        <v>171.4</v>
      </c>
      <c r="X358">
        <v>179.8</v>
      </c>
      <c r="Y358">
        <v>163</v>
      </c>
      <c r="Z358">
        <v>168.5</v>
      </c>
      <c r="AA358">
        <v>173.7</v>
      </c>
      <c r="AB358">
        <v>173.6</v>
      </c>
      <c r="AC358">
        <v>171.1</v>
      </c>
      <c r="AD358">
        <v>176.5</v>
      </c>
      <c r="AE358">
        <f t="shared" si="212"/>
        <v>167.4</v>
      </c>
      <c r="AF358">
        <f t="shared" si="213"/>
        <v>209.4</v>
      </c>
      <c r="AG358">
        <f t="shared" si="214"/>
        <v>181.4</v>
      </c>
      <c r="AH358">
        <f t="shared" si="215"/>
        <v>172.3</v>
      </c>
      <c r="AI358">
        <f t="shared" si="216"/>
        <v>188.9</v>
      </c>
      <c r="AJ358">
        <f t="shared" si="217"/>
        <v>160.69999999999999</v>
      </c>
      <c r="AK358">
        <f t="shared" si="218"/>
        <v>183.1</v>
      </c>
      <c r="AL358">
        <f t="shared" si="219"/>
        <v>170.5</v>
      </c>
      <c r="AM358">
        <f t="shared" si="220"/>
        <v>122.1</v>
      </c>
      <c r="AN358">
        <f t="shared" si="221"/>
        <v>202.8</v>
      </c>
      <c r="AO358">
        <f t="shared" si="222"/>
        <v>170.4</v>
      </c>
      <c r="AP358">
        <f t="shared" si="223"/>
        <v>189.5</v>
      </c>
      <c r="AQ358">
        <f t="shared" si="224"/>
        <v>178.3</v>
      </c>
      <c r="AR358">
        <f t="shared" si="225"/>
        <v>196.9</v>
      </c>
      <c r="AS358">
        <f t="shared" si="226"/>
        <v>183.1</v>
      </c>
      <c r="AT358">
        <f t="shared" si="227"/>
        <v>176.2</v>
      </c>
      <c r="AU358">
        <f t="shared" si="228"/>
        <v>182.1</v>
      </c>
      <c r="AV358">
        <f t="shared" si="229"/>
        <v>171.8</v>
      </c>
      <c r="AW358">
        <f t="shared" si="230"/>
        <v>181.3</v>
      </c>
      <c r="AX358">
        <f t="shared" si="231"/>
        <v>171.4</v>
      </c>
      <c r="AY358">
        <f t="shared" si="232"/>
        <v>179.8</v>
      </c>
      <c r="AZ358">
        <f t="shared" si="233"/>
        <v>163</v>
      </c>
      <c r="BA358">
        <f t="shared" si="234"/>
        <v>168.5</v>
      </c>
      <c r="BB358">
        <f t="shared" si="235"/>
        <v>173.7</v>
      </c>
      <c r="BC358">
        <f t="shared" si="236"/>
        <v>173.6</v>
      </c>
      <c r="BD358">
        <f t="shared" si="237"/>
        <v>171.1</v>
      </c>
      <c r="BE358">
        <f t="shared" si="238"/>
        <v>176.5</v>
      </c>
      <c r="BF358">
        <f t="shared" si="239"/>
        <v>2296.8000000000002</v>
      </c>
      <c r="BG358">
        <f t="shared" si="240"/>
        <v>541.4</v>
      </c>
      <c r="BH358">
        <f t="shared" si="241"/>
        <v>353.4</v>
      </c>
      <c r="BI358">
        <f t="shared" si="242"/>
        <v>516.90000000000009</v>
      </c>
      <c r="BJ358">
        <f t="shared" si="243"/>
        <v>536.5</v>
      </c>
      <c r="BK358">
        <f t="shared" si="244"/>
        <v>344.3</v>
      </c>
    </row>
    <row r="359" spans="1:63" x14ac:dyDescent="0.35">
      <c r="A359" t="s">
        <v>30</v>
      </c>
      <c r="B359">
        <v>2022</v>
      </c>
      <c r="C359" t="s">
        <v>46</v>
      </c>
      <c r="D359">
        <v>168.8</v>
      </c>
      <c r="E359">
        <v>206.9</v>
      </c>
      <c r="F359">
        <v>189.1</v>
      </c>
      <c r="G359">
        <v>173.4</v>
      </c>
      <c r="H359">
        <v>193.9</v>
      </c>
      <c r="I359">
        <v>156.69999999999999</v>
      </c>
      <c r="J359">
        <v>150.19999999999999</v>
      </c>
      <c r="K359">
        <v>170.5</v>
      </c>
      <c r="L359">
        <v>121.2</v>
      </c>
      <c r="M359">
        <v>207.5</v>
      </c>
      <c r="N359">
        <v>176.8</v>
      </c>
      <c r="O359">
        <v>187.7</v>
      </c>
      <c r="P359">
        <v>174.4</v>
      </c>
      <c r="Q359">
        <v>195.9</v>
      </c>
      <c r="R359">
        <v>188.1</v>
      </c>
      <c r="S359">
        <v>185.9</v>
      </c>
      <c r="T359">
        <v>187.8</v>
      </c>
      <c r="U359" t="s">
        <v>32</v>
      </c>
      <c r="V359">
        <v>182.8</v>
      </c>
      <c r="W359">
        <v>176.4</v>
      </c>
      <c r="X359">
        <v>183.5</v>
      </c>
      <c r="Y359">
        <v>167.8</v>
      </c>
      <c r="Z359">
        <v>171.2</v>
      </c>
      <c r="AA359">
        <v>177.3</v>
      </c>
      <c r="AB359">
        <v>175.7</v>
      </c>
      <c r="AC359">
        <v>175.5</v>
      </c>
      <c r="AD359">
        <v>177.1</v>
      </c>
      <c r="AE359">
        <f t="shared" si="212"/>
        <v>168.8</v>
      </c>
      <c r="AF359">
        <f t="shared" si="213"/>
        <v>206.9</v>
      </c>
      <c r="AG359">
        <f t="shared" si="214"/>
        <v>189.1</v>
      </c>
      <c r="AH359">
        <f t="shared" si="215"/>
        <v>173.4</v>
      </c>
      <c r="AI359">
        <f t="shared" si="216"/>
        <v>193.9</v>
      </c>
      <c r="AJ359">
        <f t="shared" si="217"/>
        <v>156.69999999999999</v>
      </c>
      <c r="AK359">
        <f t="shared" si="218"/>
        <v>150.19999999999999</v>
      </c>
      <c r="AL359">
        <f t="shared" si="219"/>
        <v>170.5</v>
      </c>
      <c r="AM359">
        <f t="shared" si="220"/>
        <v>121.2</v>
      </c>
      <c r="AN359">
        <f t="shared" si="221"/>
        <v>207.5</v>
      </c>
      <c r="AO359">
        <f t="shared" si="222"/>
        <v>176.8</v>
      </c>
      <c r="AP359">
        <f t="shared" si="223"/>
        <v>187.7</v>
      </c>
      <c r="AQ359">
        <f t="shared" si="224"/>
        <v>174.4</v>
      </c>
      <c r="AR359">
        <f t="shared" si="225"/>
        <v>195.9</v>
      </c>
      <c r="AS359">
        <f t="shared" si="226"/>
        <v>188.1</v>
      </c>
      <c r="AT359">
        <f t="shared" si="227"/>
        <v>185.9</v>
      </c>
      <c r="AU359">
        <f t="shared" si="228"/>
        <v>187.8</v>
      </c>
      <c r="AV359">
        <f t="shared" si="229"/>
        <v>170.7</v>
      </c>
      <c r="AW359">
        <f t="shared" si="230"/>
        <v>182.8</v>
      </c>
      <c r="AX359">
        <f t="shared" si="231"/>
        <v>176.4</v>
      </c>
      <c r="AY359">
        <f t="shared" si="232"/>
        <v>183.5</v>
      </c>
      <c r="AZ359">
        <f t="shared" si="233"/>
        <v>167.8</v>
      </c>
      <c r="BA359">
        <f t="shared" si="234"/>
        <v>171.2</v>
      </c>
      <c r="BB359">
        <f t="shared" si="235"/>
        <v>177.3</v>
      </c>
      <c r="BC359">
        <f t="shared" si="236"/>
        <v>175.7</v>
      </c>
      <c r="BD359">
        <f t="shared" si="237"/>
        <v>175.5</v>
      </c>
      <c r="BE359">
        <f t="shared" si="238"/>
        <v>177.1</v>
      </c>
      <c r="BF359">
        <f t="shared" si="239"/>
        <v>2277.1</v>
      </c>
      <c r="BG359">
        <f t="shared" si="240"/>
        <v>561.79999999999995</v>
      </c>
      <c r="BH359">
        <f t="shared" si="241"/>
        <v>359.2</v>
      </c>
      <c r="BI359">
        <f t="shared" si="242"/>
        <v>524.40000000000009</v>
      </c>
      <c r="BJ359">
        <f t="shared" si="243"/>
        <v>542.6</v>
      </c>
      <c r="BK359">
        <f t="shared" si="244"/>
        <v>350.6</v>
      </c>
    </row>
    <row r="360" spans="1:63" x14ac:dyDescent="0.35">
      <c r="A360" t="s">
        <v>33</v>
      </c>
      <c r="B360">
        <v>2022</v>
      </c>
      <c r="C360" t="s">
        <v>46</v>
      </c>
      <c r="D360">
        <v>170.2</v>
      </c>
      <c r="E360">
        <v>212.9</v>
      </c>
      <c r="F360">
        <v>191.9</v>
      </c>
      <c r="G360">
        <v>173.9</v>
      </c>
      <c r="H360">
        <v>179.1</v>
      </c>
      <c r="I360">
        <v>159.5</v>
      </c>
      <c r="J360">
        <v>178.7</v>
      </c>
      <c r="K360">
        <v>171.3</v>
      </c>
      <c r="L360">
        <v>123.1</v>
      </c>
      <c r="M360">
        <v>200.5</v>
      </c>
      <c r="N360">
        <v>162.80000000000001</v>
      </c>
      <c r="O360">
        <v>193.3</v>
      </c>
      <c r="P360">
        <v>178.6</v>
      </c>
      <c r="Q360">
        <v>201.1</v>
      </c>
      <c r="R360">
        <v>177.7</v>
      </c>
      <c r="S360">
        <v>164.5</v>
      </c>
      <c r="T360">
        <v>175.7</v>
      </c>
      <c r="U360">
        <v>170.7</v>
      </c>
      <c r="V360">
        <v>180.6</v>
      </c>
      <c r="W360">
        <v>167.3</v>
      </c>
      <c r="X360">
        <v>177.2</v>
      </c>
      <c r="Y360">
        <v>159.4</v>
      </c>
      <c r="Z360">
        <v>167.1</v>
      </c>
      <c r="AA360">
        <v>171.8</v>
      </c>
      <c r="AB360">
        <v>176</v>
      </c>
      <c r="AC360">
        <v>168.2</v>
      </c>
      <c r="AD360">
        <v>174.1</v>
      </c>
      <c r="AE360">
        <f t="shared" si="212"/>
        <v>170.2</v>
      </c>
      <c r="AF360">
        <f t="shared" si="213"/>
        <v>212.9</v>
      </c>
      <c r="AG360">
        <f t="shared" si="214"/>
        <v>191.9</v>
      </c>
      <c r="AH360">
        <f t="shared" si="215"/>
        <v>173.9</v>
      </c>
      <c r="AI360">
        <f t="shared" si="216"/>
        <v>179.1</v>
      </c>
      <c r="AJ360">
        <f t="shared" si="217"/>
        <v>159.5</v>
      </c>
      <c r="AK360">
        <f t="shared" si="218"/>
        <v>178.7</v>
      </c>
      <c r="AL360">
        <f t="shared" si="219"/>
        <v>171.3</v>
      </c>
      <c r="AM360">
        <f t="shared" si="220"/>
        <v>123.1</v>
      </c>
      <c r="AN360">
        <f t="shared" si="221"/>
        <v>200.5</v>
      </c>
      <c r="AO360">
        <f t="shared" si="222"/>
        <v>162.80000000000001</v>
      </c>
      <c r="AP360">
        <f t="shared" si="223"/>
        <v>193.3</v>
      </c>
      <c r="AQ360">
        <f t="shared" si="224"/>
        <v>178.6</v>
      </c>
      <c r="AR360">
        <f t="shared" si="225"/>
        <v>201.1</v>
      </c>
      <c r="AS360">
        <f t="shared" si="226"/>
        <v>177.7</v>
      </c>
      <c r="AT360">
        <f t="shared" si="227"/>
        <v>164.5</v>
      </c>
      <c r="AU360">
        <f t="shared" si="228"/>
        <v>175.7</v>
      </c>
      <c r="AV360">
        <f t="shared" si="229"/>
        <v>170.7</v>
      </c>
      <c r="AW360">
        <f t="shared" si="230"/>
        <v>180.6</v>
      </c>
      <c r="AX360">
        <f t="shared" si="231"/>
        <v>167.3</v>
      </c>
      <c r="AY360">
        <f t="shared" si="232"/>
        <v>177.2</v>
      </c>
      <c r="AZ360">
        <f t="shared" si="233"/>
        <v>159.4</v>
      </c>
      <c r="BA360">
        <f t="shared" si="234"/>
        <v>167.1</v>
      </c>
      <c r="BB360">
        <f t="shared" si="235"/>
        <v>171.8</v>
      </c>
      <c r="BC360">
        <f t="shared" si="236"/>
        <v>176</v>
      </c>
      <c r="BD360">
        <f t="shared" si="237"/>
        <v>168.2</v>
      </c>
      <c r="BE360">
        <f t="shared" si="238"/>
        <v>174.1</v>
      </c>
      <c r="BF360">
        <f t="shared" si="239"/>
        <v>2295.7999999999997</v>
      </c>
      <c r="BG360">
        <f t="shared" si="240"/>
        <v>517.9</v>
      </c>
      <c r="BH360">
        <f t="shared" si="241"/>
        <v>353.2</v>
      </c>
      <c r="BI360">
        <f t="shared" si="242"/>
        <v>509.8</v>
      </c>
      <c r="BJ360">
        <f t="shared" si="243"/>
        <v>536.4</v>
      </c>
      <c r="BK360">
        <f t="shared" si="244"/>
        <v>340</v>
      </c>
    </row>
    <row r="361" spans="1:63" x14ac:dyDescent="0.35">
      <c r="A361" t="s">
        <v>34</v>
      </c>
      <c r="B361">
        <v>2022</v>
      </c>
      <c r="C361" t="s">
        <v>46</v>
      </c>
      <c r="D361">
        <v>169.2</v>
      </c>
      <c r="E361">
        <v>209</v>
      </c>
      <c r="F361">
        <v>190.2</v>
      </c>
      <c r="G361">
        <v>173.6</v>
      </c>
      <c r="H361">
        <v>188.5</v>
      </c>
      <c r="I361">
        <v>158</v>
      </c>
      <c r="J361">
        <v>159.9</v>
      </c>
      <c r="K361">
        <v>170.8</v>
      </c>
      <c r="L361">
        <v>121.8</v>
      </c>
      <c r="M361">
        <v>205.2</v>
      </c>
      <c r="N361">
        <v>171</v>
      </c>
      <c r="O361">
        <v>190.3</v>
      </c>
      <c r="P361">
        <v>175.9</v>
      </c>
      <c r="Q361">
        <v>197.3</v>
      </c>
      <c r="R361">
        <v>184</v>
      </c>
      <c r="S361">
        <v>177</v>
      </c>
      <c r="T361">
        <v>183</v>
      </c>
      <c r="U361">
        <v>170.7</v>
      </c>
      <c r="V361">
        <v>182</v>
      </c>
      <c r="W361">
        <v>172.1</v>
      </c>
      <c r="X361">
        <v>181.1</v>
      </c>
      <c r="Y361">
        <v>163.4</v>
      </c>
      <c r="Z361">
        <v>168.9</v>
      </c>
      <c r="AA361">
        <v>174.1</v>
      </c>
      <c r="AB361">
        <v>175.8</v>
      </c>
      <c r="AC361">
        <v>172</v>
      </c>
      <c r="AD361">
        <v>175.7</v>
      </c>
      <c r="AE361">
        <f t="shared" si="212"/>
        <v>169.2</v>
      </c>
      <c r="AF361">
        <f t="shared" si="213"/>
        <v>209</v>
      </c>
      <c r="AG361">
        <f t="shared" si="214"/>
        <v>190.2</v>
      </c>
      <c r="AH361">
        <f t="shared" si="215"/>
        <v>173.6</v>
      </c>
      <c r="AI361">
        <f t="shared" si="216"/>
        <v>188.5</v>
      </c>
      <c r="AJ361">
        <f t="shared" si="217"/>
        <v>158</v>
      </c>
      <c r="AK361">
        <f t="shared" si="218"/>
        <v>159.9</v>
      </c>
      <c r="AL361">
        <f t="shared" si="219"/>
        <v>170.8</v>
      </c>
      <c r="AM361">
        <f t="shared" si="220"/>
        <v>121.8</v>
      </c>
      <c r="AN361">
        <f t="shared" si="221"/>
        <v>205.2</v>
      </c>
      <c r="AO361">
        <f t="shared" si="222"/>
        <v>171</v>
      </c>
      <c r="AP361">
        <f t="shared" si="223"/>
        <v>190.3</v>
      </c>
      <c r="AQ361">
        <f t="shared" si="224"/>
        <v>175.9</v>
      </c>
      <c r="AR361">
        <f t="shared" si="225"/>
        <v>197.3</v>
      </c>
      <c r="AS361">
        <f t="shared" si="226"/>
        <v>184</v>
      </c>
      <c r="AT361">
        <f t="shared" si="227"/>
        <v>177</v>
      </c>
      <c r="AU361">
        <f t="shared" si="228"/>
        <v>183</v>
      </c>
      <c r="AV361">
        <f t="shared" si="229"/>
        <v>170.7</v>
      </c>
      <c r="AW361">
        <f t="shared" si="230"/>
        <v>182</v>
      </c>
      <c r="AX361">
        <f t="shared" si="231"/>
        <v>172.1</v>
      </c>
      <c r="AY361">
        <f t="shared" si="232"/>
        <v>181.1</v>
      </c>
      <c r="AZ361">
        <f t="shared" si="233"/>
        <v>163.4</v>
      </c>
      <c r="BA361">
        <f t="shared" si="234"/>
        <v>168.9</v>
      </c>
      <c r="BB361">
        <f t="shared" si="235"/>
        <v>174.1</v>
      </c>
      <c r="BC361">
        <f t="shared" si="236"/>
        <v>175.8</v>
      </c>
      <c r="BD361">
        <f t="shared" si="237"/>
        <v>172</v>
      </c>
      <c r="BE361">
        <f t="shared" si="238"/>
        <v>175.7</v>
      </c>
      <c r="BF361">
        <f t="shared" si="239"/>
        <v>2283.4</v>
      </c>
      <c r="BG361">
        <f t="shared" si="240"/>
        <v>544</v>
      </c>
      <c r="BH361">
        <f t="shared" si="241"/>
        <v>356.9</v>
      </c>
      <c r="BI361">
        <f t="shared" si="242"/>
        <v>516.9</v>
      </c>
      <c r="BJ361">
        <f t="shared" si="243"/>
        <v>538.20000000000005</v>
      </c>
      <c r="BK361">
        <f t="shared" si="244"/>
        <v>345.4</v>
      </c>
    </row>
    <row r="362" spans="1:63" x14ac:dyDescent="0.35">
      <c r="A362" t="s">
        <v>30</v>
      </c>
      <c r="B362">
        <v>2023</v>
      </c>
      <c r="C362" t="s">
        <v>31</v>
      </c>
      <c r="D362">
        <v>174</v>
      </c>
      <c r="E362">
        <v>208.3</v>
      </c>
      <c r="F362">
        <v>192.9</v>
      </c>
      <c r="G362">
        <v>174.3</v>
      </c>
      <c r="H362">
        <v>192.6</v>
      </c>
      <c r="I362">
        <v>156.30000000000001</v>
      </c>
      <c r="J362">
        <v>142.9</v>
      </c>
      <c r="K362">
        <v>170.7</v>
      </c>
      <c r="L362">
        <v>120.3</v>
      </c>
      <c r="M362">
        <v>210.5</v>
      </c>
      <c r="N362">
        <v>176.9</v>
      </c>
      <c r="O362">
        <v>188.5</v>
      </c>
      <c r="P362">
        <v>175</v>
      </c>
      <c r="Q362">
        <v>196.9</v>
      </c>
      <c r="R362">
        <v>189</v>
      </c>
      <c r="S362">
        <v>186.3</v>
      </c>
      <c r="T362">
        <v>188.6</v>
      </c>
      <c r="U362" t="s">
        <v>32</v>
      </c>
      <c r="V362">
        <v>183.2</v>
      </c>
      <c r="W362">
        <v>177.2</v>
      </c>
      <c r="X362">
        <v>184.7</v>
      </c>
      <c r="Y362">
        <v>168.2</v>
      </c>
      <c r="Z362">
        <v>171.8</v>
      </c>
      <c r="AA362">
        <v>177.8</v>
      </c>
      <c r="AB362">
        <v>178.4</v>
      </c>
      <c r="AC362">
        <v>176.5</v>
      </c>
      <c r="AD362">
        <v>177.8</v>
      </c>
      <c r="AE362">
        <f t="shared" si="212"/>
        <v>174</v>
      </c>
      <c r="AF362">
        <f t="shared" si="213"/>
        <v>208.3</v>
      </c>
      <c r="AG362">
        <f t="shared" si="214"/>
        <v>192.9</v>
      </c>
      <c r="AH362">
        <f t="shared" si="215"/>
        <v>174.3</v>
      </c>
      <c r="AI362">
        <f t="shared" si="216"/>
        <v>192.6</v>
      </c>
      <c r="AJ362">
        <f t="shared" si="217"/>
        <v>156.30000000000001</v>
      </c>
      <c r="AK362">
        <f t="shared" si="218"/>
        <v>142.9</v>
      </c>
      <c r="AL362">
        <f t="shared" si="219"/>
        <v>170.7</v>
      </c>
      <c r="AM362">
        <f t="shared" si="220"/>
        <v>120.3</v>
      </c>
      <c r="AN362">
        <f t="shared" si="221"/>
        <v>210.5</v>
      </c>
      <c r="AO362">
        <f t="shared" si="222"/>
        <v>176.9</v>
      </c>
      <c r="AP362">
        <f t="shared" si="223"/>
        <v>188.5</v>
      </c>
      <c r="AQ362">
        <f t="shared" si="224"/>
        <v>175</v>
      </c>
      <c r="AR362">
        <f t="shared" si="225"/>
        <v>196.9</v>
      </c>
      <c r="AS362">
        <f t="shared" si="226"/>
        <v>189</v>
      </c>
      <c r="AT362">
        <f t="shared" si="227"/>
        <v>186.3</v>
      </c>
      <c r="AU362">
        <f t="shared" si="228"/>
        <v>188.6</v>
      </c>
      <c r="AV362">
        <f t="shared" si="229"/>
        <v>172.1</v>
      </c>
      <c r="AW362">
        <f t="shared" si="230"/>
        <v>183.2</v>
      </c>
      <c r="AX362">
        <f t="shared" si="231"/>
        <v>177.2</v>
      </c>
      <c r="AY362">
        <f t="shared" si="232"/>
        <v>184.7</v>
      </c>
      <c r="AZ362">
        <f t="shared" si="233"/>
        <v>168.2</v>
      </c>
      <c r="BA362">
        <f t="shared" si="234"/>
        <v>171.8</v>
      </c>
      <c r="BB362">
        <f t="shared" si="235"/>
        <v>177.8</v>
      </c>
      <c r="BC362">
        <f t="shared" si="236"/>
        <v>178.4</v>
      </c>
      <c r="BD362">
        <f t="shared" si="237"/>
        <v>176.5</v>
      </c>
      <c r="BE362">
        <f t="shared" si="238"/>
        <v>177.8</v>
      </c>
      <c r="BF362">
        <f t="shared" si="239"/>
        <v>2283.2000000000003</v>
      </c>
      <c r="BG362">
        <f t="shared" si="240"/>
        <v>563.9</v>
      </c>
      <c r="BH362">
        <f t="shared" si="241"/>
        <v>363.1</v>
      </c>
      <c r="BI362">
        <f t="shared" si="242"/>
        <v>527.1</v>
      </c>
      <c r="BJ362">
        <f t="shared" si="243"/>
        <v>545.20000000000005</v>
      </c>
      <c r="BK362">
        <f t="shared" si="244"/>
        <v>351.4</v>
      </c>
    </row>
    <row r="363" spans="1:63" x14ac:dyDescent="0.35">
      <c r="A363" t="s">
        <v>33</v>
      </c>
      <c r="B363">
        <v>2023</v>
      </c>
      <c r="C363" t="s">
        <v>31</v>
      </c>
      <c r="D363">
        <v>173.3</v>
      </c>
      <c r="E363">
        <v>215.2</v>
      </c>
      <c r="F363">
        <v>197</v>
      </c>
      <c r="G363">
        <v>175.2</v>
      </c>
      <c r="H363">
        <v>178</v>
      </c>
      <c r="I363">
        <v>160.5</v>
      </c>
      <c r="J363">
        <v>175.3</v>
      </c>
      <c r="K363">
        <v>171.2</v>
      </c>
      <c r="L363">
        <v>122.7</v>
      </c>
      <c r="M363">
        <v>204.3</v>
      </c>
      <c r="N363">
        <v>163.69999999999999</v>
      </c>
      <c r="O363">
        <v>194.3</v>
      </c>
      <c r="P363">
        <v>179.5</v>
      </c>
      <c r="Q363">
        <v>201.6</v>
      </c>
      <c r="R363">
        <v>178.7</v>
      </c>
      <c r="S363">
        <v>165.3</v>
      </c>
      <c r="T363">
        <v>176.6</v>
      </c>
      <c r="U363">
        <v>172.1</v>
      </c>
      <c r="V363">
        <v>180.1</v>
      </c>
      <c r="W363">
        <v>168</v>
      </c>
      <c r="X363">
        <v>178.5</v>
      </c>
      <c r="Y363">
        <v>159.5</v>
      </c>
      <c r="Z363">
        <v>167.8</v>
      </c>
      <c r="AA363">
        <v>171.8</v>
      </c>
      <c r="AB363">
        <v>178.8</v>
      </c>
      <c r="AC363">
        <v>168.9</v>
      </c>
      <c r="AD363">
        <v>174.9</v>
      </c>
      <c r="AE363">
        <f t="shared" si="212"/>
        <v>173.3</v>
      </c>
      <c r="AF363">
        <f t="shared" si="213"/>
        <v>215.2</v>
      </c>
      <c r="AG363">
        <f t="shared" si="214"/>
        <v>197</v>
      </c>
      <c r="AH363">
        <f t="shared" si="215"/>
        <v>175.2</v>
      </c>
      <c r="AI363">
        <f t="shared" si="216"/>
        <v>178</v>
      </c>
      <c r="AJ363">
        <f t="shared" si="217"/>
        <v>160.5</v>
      </c>
      <c r="AK363">
        <f t="shared" si="218"/>
        <v>175.3</v>
      </c>
      <c r="AL363">
        <f t="shared" si="219"/>
        <v>171.2</v>
      </c>
      <c r="AM363">
        <f t="shared" si="220"/>
        <v>122.7</v>
      </c>
      <c r="AN363">
        <f t="shared" si="221"/>
        <v>204.3</v>
      </c>
      <c r="AO363">
        <f t="shared" si="222"/>
        <v>163.69999999999999</v>
      </c>
      <c r="AP363">
        <f t="shared" si="223"/>
        <v>194.3</v>
      </c>
      <c r="AQ363">
        <f t="shared" si="224"/>
        <v>179.5</v>
      </c>
      <c r="AR363">
        <f t="shared" si="225"/>
        <v>201.6</v>
      </c>
      <c r="AS363">
        <f t="shared" si="226"/>
        <v>178.7</v>
      </c>
      <c r="AT363">
        <f t="shared" si="227"/>
        <v>165.3</v>
      </c>
      <c r="AU363">
        <f t="shared" si="228"/>
        <v>176.6</v>
      </c>
      <c r="AV363">
        <f t="shared" si="229"/>
        <v>172.1</v>
      </c>
      <c r="AW363">
        <f t="shared" si="230"/>
        <v>180.1</v>
      </c>
      <c r="AX363">
        <f t="shared" si="231"/>
        <v>168</v>
      </c>
      <c r="AY363">
        <f t="shared" si="232"/>
        <v>178.5</v>
      </c>
      <c r="AZ363">
        <f t="shared" si="233"/>
        <v>159.5</v>
      </c>
      <c r="BA363">
        <f t="shared" si="234"/>
        <v>167.8</v>
      </c>
      <c r="BB363">
        <f t="shared" si="235"/>
        <v>171.8</v>
      </c>
      <c r="BC363">
        <f t="shared" si="236"/>
        <v>178.8</v>
      </c>
      <c r="BD363">
        <f t="shared" si="237"/>
        <v>168.9</v>
      </c>
      <c r="BE363">
        <f t="shared" si="238"/>
        <v>174.9</v>
      </c>
      <c r="BF363">
        <f t="shared" si="239"/>
        <v>2310.2000000000003</v>
      </c>
      <c r="BG363">
        <f t="shared" si="240"/>
        <v>520.6</v>
      </c>
      <c r="BH363">
        <f t="shared" si="241"/>
        <v>357.3</v>
      </c>
      <c r="BI363">
        <f t="shared" si="242"/>
        <v>511.9</v>
      </c>
      <c r="BJ363">
        <f t="shared" si="243"/>
        <v>538.29999999999995</v>
      </c>
      <c r="BK363">
        <f t="shared" si="244"/>
        <v>339.6</v>
      </c>
    </row>
    <row r="364" spans="1:63" x14ac:dyDescent="0.35">
      <c r="A364" t="s">
        <v>34</v>
      </c>
      <c r="B364">
        <v>2023</v>
      </c>
      <c r="C364" t="s">
        <v>31</v>
      </c>
      <c r="D364">
        <v>173.8</v>
      </c>
      <c r="E364">
        <v>210.7</v>
      </c>
      <c r="F364">
        <v>194.5</v>
      </c>
      <c r="G364">
        <v>174.6</v>
      </c>
      <c r="H364">
        <v>187.2</v>
      </c>
      <c r="I364">
        <v>158.30000000000001</v>
      </c>
      <c r="J364">
        <v>153.9</v>
      </c>
      <c r="K364">
        <v>170.9</v>
      </c>
      <c r="L364">
        <v>121.1</v>
      </c>
      <c r="M364">
        <v>208.4</v>
      </c>
      <c r="N364">
        <v>171.4</v>
      </c>
      <c r="O364">
        <v>191.2</v>
      </c>
      <c r="P364">
        <v>176.7</v>
      </c>
      <c r="Q364">
        <v>198.2</v>
      </c>
      <c r="R364">
        <v>184.9</v>
      </c>
      <c r="S364">
        <v>177.6</v>
      </c>
      <c r="T364">
        <v>183.8</v>
      </c>
      <c r="U364">
        <v>172.1</v>
      </c>
      <c r="V364">
        <v>182</v>
      </c>
      <c r="W364">
        <v>172.9</v>
      </c>
      <c r="X364">
        <v>182.3</v>
      </c>
      <c r="Y364">
        <v>163.6</v>
      </c>
      <c r="Z364">
        <v>169.5</v>
      </c>
      <c r="AA364">
        <v>174.3</v>
      </c>
      <c r="AB364">
        <v>178.6</v>
      </c>
      <c r="AC364">
        <v>172.8</v>
      </c>
      <c r="AD364">
        <v>176.5</v>
      </c>
      <c r="AE364">
        <f t="shared" si="212"/>
        <v>173.8</v>
      </c>
      <c r="AF364">
        <f t="shared" si="213"/>
        <v>210.7</v>
      </c>
      <c r="AG364">
        <f t="shared" si="214"/>
        <v>194.5</v>
      </c>
      <c r="AH364">
        <f t="shared" si="215"/>
        <v>174.6</v>
      </c>
      <c r="AI364">
        <f t="shared" si="216"/>
        <v>187.2</v>
      </c>
      <c r="AJ364">
        <f t="shared" si="217"/>
        <v>158.30000000000001</v>
      </c>
      <c r="AK364">
        <f t="shared" si="218"/>
        <v>153.9</v>
      </c>
      <c r="AL364">
        <f t="shared" si="219"/>
        <v>170.9</v>
      </c>
      <c r="AM364">
        <f t="shared" si="220"/>
        <v>121.1</v>
      </c>
      <c r="AN364">
        <f t="shared" si="221"/>
        <v>208.4</v>
      </c>
      <c r="AO364">
        <f t="shared" si="222"/>
        <v>171.4</v>
      </c>
      <c r="AP364">
        <f t="shared" si="223"/>
        <v>191.2</v>
      </c>
      <c r="AQ364">
        <f t="shared" si="224"/>
        <v>176.7</v>
      </c>
      <c r="AR364">
        <f t="shared" si="225"/>
        <v>198.2</v>
      </c>
      <c r="AS364">
        <f t="shared" si="226"/>
        <v>184.9</v>
      </c>
      <c r="AT364">
        <f t="shared" si="227"/>
        <v>177.6</v>
      </c>
      <c r="AU364">
        <f t="shared" si="228"/>
        <v>183.8</v>
      </c>
      <c r="AV364">
        <f t="shared" si="229"/>
        <v>172.1</v>
      </c>
      <c r="AW364">
        <f t="shared" si="230"/>
        <v>182</v>
      </c>
      <c r="AX364">
        <f t="shared" si="231"/>
        <v>172.9</v>
      </c>
      <c r="AY364">
        <f t="shared" si="232"/>
        <v>182.3</v>
      </c>
      <c r="AZ364">
        <f t="shared" si="233"/>
        <v>163.6</v>
      </c>
      <c r="BA364">
        <f t="shared" si="234"/>
        <v>169.5</v>
      </c>
      <c r="BB364">
        <f t="shared" si="235"/>
        <v>174.3</v>
      </c>
      <c r="BC364">
        <f t="shared" si="236"/>
        <v>178.6</v>
      </c>
      <c r="BD364">
        <f t="shared" si="237"/>
        <v>172.8</v>
      </c>
      <c r="BE364">
        <f t="shared" si="238"/>
        <v>176.5</v>
      </c>
      <c r="BF364">
        <f t="shared" si="239"/>
        <v>2292.6999999999998</v>
      </c>
      <c r="BG364">
        <f t="shared" si="240"/>
        <v>546.29999999999995</v>
      </c>
      <c r="BH364">
        <f t="shared" si="241"/>
        <v>360.9</v>
      </c>
      <c r="BI364">
        <f t="shared" si="242"/>
        <v>519.30000000000007</v>
      </c>
      <c r="BJ364">
        <f t="shared" si="243"/>
        <v>540.5</v>
      </c>
      <c r="BK364">
        <f t="shared" si="244"/>
        <v>345.6</v>
      </c>
    </row>
    <row r="365" spans="1:63" x14ac:dyDescent="0.35">
      <c r="A365" t="s">
        <v>30</v>
      </c>
      <c r="B365">
        <v>2023</v>
      </c>
      <c r="C365" t="s">
        <v>35</v>
      </c>
      <c r="D365">
        <v>174.2</v>
      </c>
      <c r="E365">
        <v>205.2</v>
      </c>
      <c r="F365">
        <v>173.9</v>
      </c>
      <c r="G365">
        <v>177</v>
      </c>
      <c r="H365">
        <v>183.4</v>
      </c>
      <c r="I365">
        <v>167.2</v>
      </c>
      <c r="J365">
        <v>140.9</v>
      </c>
      <c r="K365">
        <v>170.4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198.3</v>
      </c>
      <c r="R365">
        <v>190</v>
      </c>
      <c r="S365">
        <v>187</v>
      </c>
      <c r="T365">
        <v>189.6</v>
      </c>
      <c r="U365" t="s">
        <v>32</v>
      </c>
      <c r="V365">
        <v>181.6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212"/>
        <v>174.2</v>
      </c>
      <c r="AF365">
        <f t="shared" si="213"/>
        <v>205.2</v>
      </c>
      <c r="AG365">
        <f t="shared" si="214"/>
        <v>173.9</v>
      </c>
      <c r="AH365">
        <f t="shared" si="215"/>
        <v>177</v>
      </c>
      <c r="AI365">
        <f t="shared" si="216"/>
        <v>183.4</v>
      </c>
      <c r="AJ365">
        <f t="shared" si="217"/>
        <v>167.2</v>
      </c>
      <c r="AK365">
        <f t="shared" si="218"/>
        <v>140.9</v>
      </c>
      <c r="AL365">
        <f t="shared" si="219"/>
        <v>170.4</v>
      </c>
      <c r="AM365">
        <f t="shared" si="220"/>
        <v>119.1</v>
      </c>
      <c r="AN365">
        <f t="shared" si="221"/>
        <v>212.1</v>
      </c>
      <c r="AO365">
        <f t="shared" si="222"/>
        <v>177.6</v>
      </c>
      <c r="AP365">
        <f t="shared" si="223"/>
        <v>189.9</v>
      </c>
      <c r="AQ365">
        <f t="shared" si="224"/>
        <v>174.8</v>
      </c>
      <c r="AR365">
        <f t="shared" si="225"/>
        <v>198.3</v>
      </c>
      <c r="AS365">
        <f t="shared" si="226"/>
        <v>190</v>
      </c>
      <c r="AT365">
        <f t="shared" si="227"/>
        <v>187</v>
      </c>
      <c r="AU365">
        <f t="shared" si="228"/>
        <v>189.6</v>
      </c>
      <c r="AV365">
        <f t="shared" si="229"/>
        <v>173.5</v>
      </c>
      <c r="AW365">
        <f t="shared" si="230"/>
        <v>181.6</v>
      </c>
      <c r="AX365">
        <f t="shared" si="231"/>
        <v>178.6</v>
      </c>
      <c r="AY365">
        <f t="shared" si="232"/>
        <v>186.6</v>
      </c>
      <c r="AZ365">
        <f t="shared" si="233"/>
        <v>169</v>
      </c>
      <c r="BA365">
        <f t="shared" si="234"/>
        <v>172.8</v>
      </c>
      <c r="BB365">
        <f t="shared" si="235"/>
        <v>178.5</v>
      </c>
      <c r="BC365">
        <f t="shared" si="236"/>
        <v>180.7</v>
      </c>
      <c r="BD365">
        <f t="shared" si="237"/>
        <v>177.9</v>
      </c>
      <c r="BE365">
        <f t="shared" si="238"/>
        <v>178</v>
      </c>
      <c r="BF365">
        <f t="shared" si="239"/>
        <v>2265.6999999999998</v>
      </c>
      <c r="BG365">
        <f t="shared" si="240"/>
        <v>566.6</v>
      </c>
      <c r="BH365">
        <f t="shared" si="241"/>
        <v>367.29999999999995</v>
      </c>
      <c r="BI365">
        <f t="shared" si="242"/>
        <v>530.6</v>
      </c>
      <c r="BJ365">
        <f t="shared" si="243"/>
        <v>549</v>
      </c>
      <c r="BK365">
        <f t="shared" si="244"/>
        <v>350.6</v>
      </c>
    </row>
    <row r="366" spans="1:63" x14ac:dyDescent="0.35">
      <c r="A366" t="s">
        <v>33</v>
      </c>
      <c r="B366">
        <v>2023</v>
      </c>
      <c r="C366" t="s">
        <v>35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175.8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180.7</v>
      </c>
      <c r="Q366">
        <v>202.7</v>
      </c>
      <c r="R366">
        <v>180.3</v>
      </c>
      <c r="S366">
        <v>167</v>
      </c>
      <c r="T366">
        <v>178.2</v>
      </c>
      <c r="U366">
        <v>173.5</v>
      </c>
      <c r="V366">
        <v>182.8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181.4</v>
      </c>
      <c r="AC366">
        <v>170</v>
      </c>
      <c r="AD366">
        <v>176.3</v>
      </c>
      <c r="AE366">
        <f t="shared" si="212"/>
        <v>174.7</v>
      </c>
      <c r="AF366">
        <f t="shared" si="213"/>
        <v>212.2</v>
      </c>
      <c r="AG366">
        <f t="shared" si="214"/>
        <v>177.2</v>
      </c>
      <c r="AH366">
        <f t="shared" si="215"/>
        <v>177.9</v>
      </c>
      <c r="AI366">
        <f t="shared" si="216"/>
        <v>172.2</v>
      </c>
      <c r="AJ366">
        <f t="shared" si="217"/>
        <v>172.1</v>
      </c>
      <c r="AK366">
        <f t="shared" si="218"/>
        <v>175.8</v>
      </c>
      <c r="AL366">
        <f t="shared" si="219"/>
        <v>172.2</v>
      </c>
      <c r="AM366">
        <f t="shared" si="220"/>
        <v>121.9</v>
      </c>
      <c r="AN366">
        <f t="shared" si="221"/>
        <v>204.8</v>
      </c>
      <c r="AO366">
        <f t="shared" si="222"/>
        <v>164.9</v>
      </c>
      <c r="AP366">
        <f t="shared" si="223"/>
        <v>196.6</v>
      </c>
      <c r="AQ366">
        <f t="shared" si="224"/>
        <v>180.7</v>
      </c>
      <c r="AR366">
        <f t="shared" si="225"/>
        <v>202.7</v>
      </c>
      <c r="AS366">
        <f t="shared" si="226"/>
        <v>180.3</v>
      </c>
      <c r="AT366">
        <f t="shared" si="227"/>
        <v>167</v>
      </c>
      <c r="AU366">
        <f t="shared" si="228"/>
        <v>178.2</v>
      </c>
      <c r="AV366">
        <f t="shared" si="229"/>
        <v>173.5</v>
      </c>
      <c r="AW366">
        <f t="shared" si="230"/>
        <v>182.8</v>
      </c>
      <c r="AX366">
        <f t="shared" si="231"/>
        <v>169.2</v>
      </c>
      <c r="AY366">
        <f t="shared" si="232"/>
        <v>180.8</v>
      </c>
      <c r="AZ366">
        <f t="shared" si="233"/>
        <v>159.80000000000001</v>
      </c>
      <c r="BA366">
        <f t="shared" si="234"/>
        <v>168.4</v>
      </c>
      <c r="BB366">
        <f t="shared" si="235"/>
        <v>172.5</v>
      </c>
      <c r="BC366">
        <f t="shared" si="236"/>
        <v>181.4</v>
      </c>
      <c r="BD366">
        <f t="shared" si="237"/>
        <v>170</v>
      </c>
      <c r="BE366">
        <f t="shared" si="238"/>
        <v>176.3</v>
      </c>
      <c r="BF366">
        <f t="shared" si="239"/>
        <v>2303.1999999999998</v>
      </c>
      <c r="BG366">
        <f t="shared" si="240"/>
        <v>525.5</v>
      </c>
      <c r="BH366">
        <f t="shared" si="241"/>
        <v>362.20000000000005</v>
      </c>
      <c r="BI366">
        <f t="shared" si="242"/>
        <v>515.20000000000005</v>
      </c>
      <c r="BJ366">
        <f t="shared" si="243"/>
        <v>541.1</v>
      </c>
      <c r="BK366">
        <f t="shared" si="244"/>
        <v>342.6</v>
      </c>
    </row>
    <row r="367" spans="1:63" x14ac:dyDescent="0.35">
      <c r="A367" t="s">
        <v>34</v>
      </c>
      <c r="B367">
        <v>2023</v>
      </c>
      <c r="C367" t="s">
        <v>35</v>
      </c>
      <c r="D367">
        <v>174.4</v>
      </c>
      <c r="E367">
        <v>207.7</v>
      </c>
      <c r="F367">
        <v>175.2</v>
      </c>
      <c r="G367">
        <v>177.3</v>
      </c>
      <c r="H367">
        <v>179.3</v>
      </c>
      <c r="I367">
        <v>169.5</v>
      </c>
      <c r="J367">
        <v>152.69999999999999</v>
      </c>
      <c r="K367">
        <v>171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186.2</v>
      </c>
      <c r="S367">
        <v>178.7</v>
      </c>
      <c r="T367">
        <v>185.1</v>
      </c>
      <c r="U367">
        <v>173.5</v>
      </c>
      <c r="V367">
        <v>182.1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212"/>
        <v>174.4</v>
      </c>
      <c r="AF367">
        <f t="shared" si="213"/>
        <v>207.7</v>
      </c>
      <c r="AG367">
        <f t="shared" si="214"/>
        <v>175.2</v>
      </c>
      <c r="AH367">
        <f t="shared" si="215"/>
        <v>177.3</v>
      </c>
      <c r="AI367">
        <f t="shared" si="216"/>
        <v>179.3</v>
      </c>
      <c r="AJ367">
        <f t="shared" si="217"/>
        <v>169.5</v>
      </c>
      <c r="AK367">
        <f t="shared" si="218"/>
        <v>152.69999999999999</v>
      </c>
      <c r="AL367">
        <f t="shared" si="219"/>
        <v>171</v>
      </c>
      <c r="AM367">
        <f t="shared" si="220"/>
        <v>120</v>
      </c>
      <c r="AN367">
        <f t="shared" si="221"/>
        <v>209.7</v>
      </c>
      <c r="AO367">
        <f t="shared" si="222"/>
        <v>172.3</v>
      </c>
      <c r="AP367">
        <f t="shared" si="223"/>
        <v>193</v>
      </c>
      <c r="AQ367">
        <f t="shared" si="224"/>
        <v>177</v>
      </c>
      <c r="AR367">
        <f t="shared" si="225"/>
        <v>199.5</v>
      </c>
      <c r="AS367">
        <f t="shared" si="226"/>
        <v>186.2</v>
      </c>
      <c r="AT367">
        <f t="shared" si="227"/>
        <v>178.7</v>
      </c>
      <c r="AU367">
        <f t="shared" si="228"/>
        <v>185.1</v>
      </c>
      <c r="AV367">
        <f t="shared" si="229"/>
        <v>173.5</v>
      </c>
      <c r="AW367">
        <f t="shared" si="230"/>
        <v>182.1</v>
      </c>
      <c r="AX367">
        <f t="shared" si="231"/>
        <v>174.2</v>
      </c>
      <c r="AY367">
        <f t="shared" si="232"/>
        <v>184.4</v>
      </c>
      <c r="AZ367">
        <f t="shared" si="233"/>
        <v>164.2</v>
      </c>
      <c r="BA367">
        <f t="shared" si="234"/>
        <v>170.3</v>
      </c>
      <c r="BB367">
        <f t="shared" si="235"/>
        <v>175</v>
      </c>
      <c r="BC367">
        <f t="shared" si="236"/>
        <v>181</v>
      </c>
      <c r="BD367">
        <f t="shared" si="237"/>
        <v>174.1</v>
      </c>
      <c r="BE367">
        <f t="shared" si="238"/>
        <v>177.2</v>
      </c>
      <c r="BF367">
        <f t="shared" si="239"/>
        <v>2279.1</v>
      </c>
      <c r="BG367">
        <f t="shared" si="240"/>
        <v>550</v>
      </c>
      <c r="BH367">
        <f t="shared" si="241"/>
        <v>365.4</v>
      </c>
      <c r="BI367">
        <f t="shared" si="242"/>
        <v>522.70000000000005</v>
      </c>
      <c r="BJ367">
        <f t="shared" si="243"/>
        <v>543.9</v>
      </c>
      <c r="BK367">
        <f t="shared" si="244"/>
        <v>346.29999999999995</v>
      </c>
    </row>
    <row r="368" spans="1:63" x14ac:dyDescent="0.35">
      <c r="A368" t="s">
        <v>30</v>
      </c>
      <c r="B368">
        <v>2023</v>
      </c>
      <c r="C368" t="s">
        <v>36</v>
      </c>
      <c r="D368">
        <v>174.3</v>
      </c>
      <c r="E368">
        <v>205.2</v>
      </c>
      <c r="F368">
        <v>173.9</v>
      </c>
      <c r="G368">
        <v>177</v>
      </c>
      <c r="H368">
        <v>183.3</v>
      </c>
      <c r="I368">
        <v>167.2</v>
      </c>
      <c r="J368">
        <v>140.9</v>
      </c>
      <c r="K368">
        <v>170.5</v>
      </c>
      <c r="L368">
        <v>119.1</v>
      </c>
      <c r="M368">
        <v>212.1</v>
      </c>
      <c r="N368">
        <v>177.6</v>
      </c>
      <c r="O368">
        <v>189.9</v>
      </c>
      <c r="P368">
        <v>174.8</v>
      </c>
      <c r="Q368">
        <v>198.4</v>
      </c>
      <c r="R368">
        <v>190</v>
      </c>
      <c r="S368">
        <v>187</v>
      </c>
      <c r="T368">
        <v>189.6</v>
      </c>
      <c r="U368" t="s">
        <v>32</v>
      </c>
      <c r="V368">
        <v>181.4</v>
      </c>
      <c r="W368">
        <v>178.6</v>
      </c>
      <c r="X368">
        <v>186.6</v>
      </c>
      <c r="Y368">
        <v>169</v>
      </c>
      <c r="Z368">
        <v>172.8</v>
      </c>
      <c r="AA368">
        <v>178.5</v>
      </c>
      <c r="AB368">
        <v>180.7</v>
      </c>
      <c r="AC368">
        <v>177.9</v>
      </c>
      <c r="AD368">
        <v>178</v>
      </c>
      <c r="AE368">
        <f t="shared" si="212"/>
        <v>174.3</v>
      </c>
      <c r="AF368">
        <f t="shared" si="213"/>
        <v>205.2</v>
      </c>
      <c r="AG368">
        <f t="shared" si="214"/>
        <v>173.9</v>
      </c>
      <c r="AH368">
        <f t="shared" si="215"/>
        <v>177</v>
      </c>
      <c r="AI368">
        <f t="shared" si="216"/>
        <v>183.3</v>
      </c>
      <c r="AJ368">
        <f t="shared" si="217"/>
        <v>167.2</v>
      </c>
      <c r="AK368">
        <f t="shared" si="218"/>
        <v>140.9</v>
      </c>
      <c r="AL368">
        <f t="shared" si="219"/>
        <v>170.5</v>
      </c>
      <c r="AM368">
        <f t="shared" si="220"/>
        <v>119.1</v>
      </c>
      <c r="AN368">
        <f t="shared" si="221"/>
        <v>212.1</v>
      </c>
      <c r="AO368">
        <f t="shared" si="222"/>
        <v>177.6</v>
      </c>
      <c r="AP368">
        <f t="shared" si="223"/>
        <v>189.9</v>
      </c>
      <c r="AQ368">
        <f t="shared" si="224"/>
        <v>174.8</v>
      </c>
      <c r="AR368">
        <f t="shared" si="225"/>
        <v>198.4</v>
      </c>
      <c r="AS368">
        <f t="shared" si="226"/>
        <v>190</v>
      </c>
      <c r="AT368">
        <f t="shared" si="227"/>
        <v>187</v>
      </c>
      <c r="AU368">
        <f t="shared" si="228"/>
        <v>189.6</v>
      </c>
      <c r="AV368">
        <f t="shared" si="229"/>
        <v>173.5</v>
      </c>
      <c r="AW368">
        <f t="shared" si="230"/>
        <v>181.4</v>
      </c>
      <c r="AX368">
        <f t="shared" si="231"/>
        <v>178.6</v>
      </c>
      <c r="AY368">
        <f t="shared" si="232"/>
        <v>186.6</v>
      </c>
      <c r="AZ368">
        <f t="shared" si="233"/>
        <v>169</v>
      </c>
      <c r="BA368">
        <f t="shared" si="234"/>
        <v>172.8</v>
      </c>
      <c r="BB368">
        <f t="shared" si="235"/>
        <v>178.5</v>
      </c>
      <c r="BC368">
        <f t="shared" si="236"/>
        <v>180.7</v>
      </c>
      <c r="BD368">
        <f t="shared" si="237"/>
        <v>177.9</v>
      </c>
      <c r="BE368">
        <f t="shared" si="238"/>
        <v>178</v>
      </c>
      <c r="BF368">
        <f t="shared" si="239"/>
        <v>2265.8000000000002</v>
      </c>
      <c r="BG368">
        <f t="shared" si="240"/>
        <v>566.6</v>
      </c>
      <c r="BH368">
        <f t="shared" si="241"/>
        <v>367.29999999999995</v>
      </c>
      <c r="BI368">
        <f t="shared" si="242"/>
        <v>530.6</v>
      </c>
      <c r="BJ368">
        <f t="shared" si="243"/>
        <v>549.1</v>
      </c>
      <c r="BK368">
        <f t="shared" si="244"/>
        <v>350.4</v>
      </c>
    </row>
    <row r="369" spans="1:63" x14ac:dyDescent="0.35">
      <c r="A369" t="s">
        <v>33</v>
      </c>
      <c r="B369">
        <v>2023</v>
      </c>
      <c r="C369" t="s">
        <v>36</v>
      </c>
      <c r="D369">
        <v>174.7</v>
      </c>
      <c r="E369">
        <v>212.2</v>
      </c>
      <c r="F369">
        <v>177.2</v>
      </c>
      <c r="G369">
        <v>177.9</v>
      </c>
      <c r="H369">
        <v>172.2</v>
      </c>
      <c r="I369">
        <v>172.1</v>
      </c>
      <c r="J369">
        <v>175.9</v>
      </c>
      <c r="K369">
        <v>172.2</v>
      </c>
      <c r="L369">
        <v>121.9</v>
      </c>
      <c r="M369">
        <v>204.8</v>
      </c>
      <c r="N369">
        <v>164.9</v>
      </c>
      <c r="O369">
        <v>196.6</v>
      </c>
      <c r="P369">
        <v>180.8</v>
      </c>
      <c r="Q369">
        <v>202.7</v>
      </c>
      <c r="R369">
        <v>180.2</v>
      </c>
      <c r="S369">
        <v>167</v>
      </c>
      <c r="T369">
        <v>178.2</v>
      </c>
      <c r="U369">
        <v>173.5</v>
      </c>
      <c r="V369">
        <v>182.6</v>
      </c>
      <c r="W369">
        <v>169.2</v>
      </c>
      <c r="X369">
        <v>180.8</v>
      </c>
      <c r="Y369">
        <v>159.80000000000001</v>
      </c>
      <c r="Z369">
        <v>168.4</v>
      </c>
      <c r="AA369">
        <v>172.5</v>
      </c>
      <c r="AB369">
        <v>181.5</v>
      </c>
      <c r="AC369">
        <v>170</v>
      </c>
      <c r="AD369">
        <v>176.3</v>
      </c>
      <c r="AE369">
        <f t="shared" si="212"/>
        <v>174.7</v>
      </c>
      <c r="AF369">
        <f t="shared" si="213"/>
        <v>212.2</v>
      </c>
      <c r="AG369">
        <f t="shared" si="214"/>
        <v>177.2</v>
      </c>
      <c r="AH369">
        <f t="shared" si="215"/>
        <v>177.9</v>
      </c>
      <c r="AI369">
        <f t="shared" si="216"/>
        <v>172.2</v>
      </c>
      <c r="AJ369">
        <f t="shared" si="217"/>
        <v>172.1</v>
      </c>
      <c r="AK369">
        <f t="shared" si="218"/>
        <v>175.9</v>
      </c>
      <c r="AL369">
        <f t="shared" si="219"/>
        <v>172.2</v>
      </c>
      <c r="AM369">
        <f t="shared" si="220"/>
        <v>121.9</v>
      </c>
      <c r="AN369">
        <f t="shared" si="221"/>
        <v>204.8</v>
      </c>
      <c r="AO369">
        <f t="shared" si="222"/>
        <v>164.9</v>
      </c>
      <c r="AP369">
        <f t="shared" si="223"/>
        <v>196.6</v>
      </c>
      <c r="AQ369">
        <f t="shared" si="224"/>
        <v>180.8</v>
      </c>
      <c r="AR369">
        <f t="shared" si="225"/>
        <v>202.7</v>
      </c>
      <c r="AS369">
        <f t="shared" si="226"/>
        <v>180.2</v>
      </c>
      <c r="AT369">
        <f t="shared" si="227"/>
        <v>167</v>
      </c>
      <c r="AU369">
        <f t="shared" si="228"/>
        <v>178.2</v>
      </c>
      <c r="AV369">
        <f t="shared" si="229"/>
        <v>173.5</v>
      </c>
      <c r="AW369">
        <f t="shared" si="230"/>
        <v>182.6</v>
      </c>
      <c r="AX369">
        <f t="shared" si="231"/>
        <v>169.2</v>
      </c>
      <c r="AY369">
        <f t="shared" si="232"/>
        <v>180.8</v>
      </c>
      <c r="AZ369">
        <f t="shared" si="233"/>
        <v>159.80000000000001</v>
      </c>
      <c r="BA369">
        <f t="shared" si="234"/>
        <v>168.4</v>
      </c>
      <c r="BB369">
        <f t="shared" si="235"/>
        <v>172.5</v>
      </c>
      <c r="BC369">
        <f t="shared" si="236"/>
        <v>181.5</v>
      </c>
      <c r="BD369">
        <f t="shared" si="237"/>
        <v>170</v>
      </c>
      <c r="BE369">
        <f t="shared" si="238"/>
        <v>176.3</v>
      </c>
      <c r="BF369">
        <f t="shared" si="239"/>
        <v>2303.4</v>
      </c>
      <c r="BG369">
        <f t="shared" si="240"/>
        <v>525.4</v>
      </c>
      <c r="BH369">
        <f t="shared" si="241"/>
        <v>362.3</v>
      </c>
      <c r="BI369">
        <f t="shared" si="242"/>
        <v>515.20000000000005</v>
      </c>
      <c r="BJ369">
        <f t="shared" si="243"/>
        <v>541.1</v>
      </c>
      <c r="BK369">
        <f t="shared" si="244"/>
        <v>342.4</v>
      </c>
    </row>
    <row r="370" spans="1:63" x14ac:dyDescent="0.35">
      <c r="A370" t="s">
        <v>34</v>
      </c>
      <c r="B370">
        <v>2023</v>
      </c>
      <c r="C370" t="s">
        <v>36</v>
      </c>
      <c r="D370">
        <v>174.4</v>
      </c>
      <c r="E370">
        <v>207.7</v>
      </c>
      <c r="F370">
        <v>175.2</v>
      </c>
      <c r="G370">
        <v>177.3</v>
      </c>
      <c r="H370">
        <v>179.2</v>
      </c>
      <c r="I370">
        <v>169.5</v>
      </c>
      <c r="J370">
        <v>152.80000000000001</v>
      </c>
      <c r="K370">
        <v>171.1</v>
      </c>
      <c r="L370">
        <v>120</v>
      </c>
      <c r="M370">
        <v>209.7</v>
      </c>
      <c r="N370">
        <v>172.3</v>
      </c>
      <c r="O370">
        <v>193</v>
      </c>
      <c r="P370">
        <v>177</v>
      </c>
      <c r="Q370">
        <v>199.5</v>
      </c>
      <c r="R370">
        <v>186.1</v>
      </c>
      <c r="S370">
        <v>178.7</v>
      </c>
      <c r="T370">
        <v>185.1</v>
      </c>
      <c r="U370">
        <v>173.5</v>
      </c>
      <c r="V370">
        <v>181.9</v>
      </c>
      <c r="W370">
        <v>174.2</v>
      </c>
      <c r="X370">
        <v>184.4</v>
      </c>
      <c r="Y370">
        <v>164.2</v>
      </c>
      <c r="Z370">
        <v>170.3</v>
      </c>
      <c r="AA370">
        <v>175</v>
      </c>
      <c r="AB370">
        <v>181</v>
      </c>
      <c r="AC370">
        <v>174.1</v>
      </c>
      <c r="AD370">
        <v>177.2</v>
      </c>
      <c r="AE370">
        <f t="shared" si="212"/>
        <v>174.4</v>
      </c>
      <c r="AF370">
        <f t="shared" si="213"/>
        <v>207.7</v>
      </c>
      <c r="AG370">
        <f t="shared" si="214"/>
        <v>175.2</v>
      </c>
      <c r="AH370">
        <f t="shared" si="215"/>
        <v>177.3</v>
      </c>
      <c r="AI370">
        <f t="shared" si="216"/>
        <v>179.2</v>
      </c>
      <c r="AJ370">
        <f t="shared" si="217"/>
        <v>169.5</v>
      </c>
      <c r="AK370">
        <f t="shared" si="218"/>
        <v>152.80000000000001</v>
      </c>
      <c r="AL370">
        <f t="shared" si="219"/>
        <v>171.1</v>
      </c>
      <c r="AM370">
        <f t="shared" si="220"/>
        <v>120</v>
      </c>
      <c r="AN370">
        <f t="shared" si="221"/>
        <v>209.7</v>
      </c>
      <c r="AO370">
        <f t="shared" si="222"/>
        <v>172.3</v>
      </c>
      <c r="AP370">
        <f t="shared" si="223"/>
        <v>193</v>
      </c>
      <c r="AQ370">
        <f t="shared" si="224"/>
        <v>177</v>
      </c>
      <c r="AR370">
        <f t="shared" si="225"/>
        <v>199.5</v>
      </c>
      <c r="AS370">
        <f t="shared" si="226"/>
        <v>186.1</v>
      </c>
      <c r="AT370">
        <f t="shared" si="227"/>
        <v>178.7</v>
      </c>
      <c r="AU370">
        <f t="shared" si="228"/>
        <v>185.1</v>
      </c>
      <c r="AV370">
        <f t="shared" si="229"/>
        <v>173.5</v>
      </c>
      <c r="AW370">
        <f t="shared" si="230"/>
        <v>181.9</v>
      </c>
      <c r="AX370">
        <f t="shared" si="231"/>
        <v>174.2</v>
      </c>
      <c r="AY370">
        <f t="shared" si="232"/>
        <v>184.4</v>
      </c>
      <c r="AZ370">
        <f t="shared" si="233"/>
        <v>164.2</v>
      </c>
      <c r="BA370">
        <f t="shared" si="234"/>
        <v>170.3</v>
      </c>
      <c r="BB370">
        <f t="shared" si="235"/>
        <v>175</v>
      </c>
      <c r="BC370">
        <f t="shared" si="236"/>
        <v>181</v>
      </c>
      <c r="BD370">
        <f t="shared" si="237"/>
        <v>174.1</v>
      </c>
      <c r="BE370">
        <f t="shared" si="238"/>
        <v>177.2</v>
      </c>
      <c r="BF370">
        <f t="shared" si="239"/>
        <v>2279.1999999999998</v>
      </c>
      <c r="BG370">
        <f t="shared" si="240"/>
        <v>549.9</v>
      </c>
      <c r="BH370">
        <f t="shared" si="241"/>
        <v>365.4</v>
      </c>
      <c r="BI370">
        <f t="shared" si="242"/>
        <v>522.70000000000005</v>
      </c>
      <c r="BJ370">
        <f t="shared" si="243"/>
        <v>543.9</v>
      </c>
      <c r="BK370">
        <f t="shared" si="244"/>
        <v>346.1</v>
      </c>
    </row>
    <row r="371" spans="1:63" x14ac:dyDescent="0.35">
      <c r="A371" t="s">
        <v>30</v>
      </c>
      <c r="B371">
        <v>2023</v>
      </c>
      <c r="C371" t="s">
        <v>37</v>
      </c>
      <c r="D371">
        <v>173.3</v>
      </c>
      <c r="E371">
        <v>206.9</v>
      </c>
      <c r="F371">
        <v>167.9</v>
      </c>
      <c r="G371">
        <v>178.2</v>
      </c>
      <c r="H371">
        <v>178.5</v>
      </c>
      <c r="I371">
        <v>173.7</v>
      </c>
      <c r="J371">
        <v>142.80000000000001</v>
      </c>
      <c r="K371">
        <v>172.8</v>
      </c>
      <c r="L371">
        <v>120.4</v>
      </c>
      <c r="M371">
        <v>215.5</v>
      </c>
      <c r="N371">
        <v>178.2</v>
      </c>
      <c r="O371">
        <v>190.5</v>
      </c>
      <c r="P371">
        <v>175.5</v>
      </c>
      <c r="Q371">
        <v>199.5</v>
      </c>
      <c r="R371">
        <v>190.7</v>
      </c>
      <c r="S371">
        <v>187.3</v>
      </c>
      <c r="T371">
        <v>190.2</v>
      </c>
      <c r="U371" t="s">
        <v>47</v>
      </c>
      <c r="V371">
        <v>181.5</v>
      </c>
      <c r="W371">
        <v>179.1</v>
      </c>
      <c r="X371">
        <v>187.2</v>
      </c>
      <c r="Y371">
        <v>169.4</v>
      </c>
      <c r="Z371">
        <v>173.2</v>
      </c>
      <c r="AA371">
        <v>179.4</v>
      </c>
      <c r="AB371">
        <v>183.8</v>
      </c>
      <c r="AC371">
        <v>178.9</v>
      </c>
      <c r="AD371">
        <v>178.8</v>
      </c>
      <c r="AE371">
        <f t="shared" si="212"/>
        <v>173.3</v>
      </c>
      <c r="AF371">
        <f t="shared" si="213"/>
        <v>206.9</v>
      </c>
      <c r="AG371">
        <f t="shared" si="214"/>
        <v>167.9</v>
      </c>
      <c r="AH371">
        <f t="shared" si="215"/>
        <v>178.2</v>
      </c>
      <c r="AI371">
        <f t="shared" si="216"/>
        <v>178.5</v>
      </c>
      <c r="AJ371">
        <f t="shared" si="217"/>
        <v>173.7</v>
      </c>
      <c r="AK371">
        <f t="shared" si="218"/>
        <v>142.80000000000001</v>
      </c>
      <c r="AL371">
        <f t="shared" si="219"/>
        <v>172.8</v>
      </c>
      <c r="AM371">
        <f t="shared" si="220"/>
        <v>120.4</v>
      </c>
      <c r="AN371">
        <f t="shared" si="221"/>
        <v>215.5</v>
      </c>
      <c r="AO371">
        <f t="shared" si="222"/>
        <v>178.2</v>
      </c>
      <c r="AP371">
        <f t="shared" si="223"/>
        <v>190.5</v>
      </c>
      <c r="AQ371">
        <f t="shared" si="224"/>
        <v>175.5</v>
      </c>
      <c r="AR371">
        <f t="shared" si="225"/>
        <v>199.5</v>
      </c>
      <c r="AS371">
        <f t="shared" si="226"/>
        <v>190.7</v>
      </c>
      <c r="AT371">
        <f t="shared" si="227"/>
        <v>187.3</v>
      </c>
      <c r="AU371">
        <f t="shared" si="228"/>
        <v>190.2</v>
      </c>
      <c r="AV371">
        <f t="shared" si="229"/>
        <v>175.2</v>
      </c>
      <c r="AW371">
        <f t="shared" si="230"/>
        <v>181.5</v>
      </c>
      <c r="AX371">
        <f t="shared" si="231"/>
        <v>179.1</v>
      </c>
      <c r="AY371">
        <f t="shared" si="232"/>
        <v>187.2</v>
      </c>
      <c r="AZ371">
        <f t="shared" si="233"/>
        <v>169.4</v>
      </c>
      <c r="BA371">
        <f t="shared" si="234"/>
        <v>173.2</v>
      </c>
      <c r="BB371">
        <f t="shared" si="235"/>
        <v>179.4</v>
      </c>
      <c r="BC371">
        <f t="shared" si="236"/>
        <v>183.8</v>
      </c>
      <c r="BD371">
        <f t="shared" si="237"/>
        <v>178.9</v>
      </c>
      <c r="BE371">
        <f t="shared" si="238"/>
        <v>178.8</v>
      </c>
      <c r="BF371">
        <f t="shared" si="239"/>
        <v>2274.1999999999998</v>
      </c>
      <c r="BG371">
        <f t="shared" si="240"/>
        <v>568.20000000000005</v>
      </c>
      <c r="BH371">
        <f t="shared" si="241"/>
        <v>371</v>
      </c>
      <c r="BI371">
        <f t="shared" si="242"/>
        <v>533.70000000000005</v>
      </c>
      <c r="BJ371">
        <f t="shared" si="243"/>
        <v>551.6</v>
      </c>
      <c r="BK371">
        <f t="shared" si="244"/>
        <v>350.9</v>
      </c>
    </row>
    <row r="372" spans="1:63" x14ac:dyDescent="0.35">
      <c r="A372" t="s">
        <v>33</v>
      </c>
      <c r="B372">
        <v>2023</v>
      </c>
      <c r="C372" t="s">
        <v>37</v>
      </c>
      <c r="D372">
        <v>174.8</v>
      </c>
      <c r="E372">
        <v>213.7</v>
      </c>
      <c r="F372">
        <v>172.4</v>
      </c>
      <c r="G372">
        <v>178.8</v>
      </c>
      <c r="H372">
        <v>168.7</v>
      </c>
      <c r="I372">
        <v>179.2</v>
      </c>
      <c r="J372">
        <v>179.9</v>
      </c>
      <c r="K372">
        <v>174.7</v>
      </c>
      <c r="L372">
        <v>123.1</v>
      </c>
      <c r="M372">
        <v>207.8</v>
      </c>
      <c r="N372">
        <v>165.5</v>
      </c>
      <c r="O372">
        <v>197</v>
      </c>
      <c r="P372">
        <v>182.1</v>
      </c>
      <c r="Q372">
        <v>203.5</v>
      </c>
      <c r="R372">
        <v>181</v>
      </c>
      <c r="S372">
        <v>167.7</v>
      </c>
      <c r="T372">
        <v>178.9</v>
      </c>
      <c r="U372">
        <v>175.2</v>
      </c>
      <c r="V372">
        <v>182.1</v>
      </c>
      <c r="W372">
        <v>169.6</v>
      </c>
      <c r="X372">
        <v>181.5</v>
      </c>
      <c r="Y372">
        <v>160.1</v>
      </c>
      <c r="Z372">
        <v>168.8</v>
      </c>
      <c r="AA372">
        <v>174.2</v>
      </c>
      <c r="AB372">
        <v>184.4</v>
      </c>
      <c r="AC372">
        <v>170.9</v>
      </c>
      <c r="AD372">
        <v>177.4</v>
      </c>
      <c r="AE372">
        <f t="shared" si="212"/>
        <v>174.8</v>
      </c>
      <c r="AF372">
        <f t="shared" si="213"/>
        <v>213.7</v>
      </c>
      <c r="AG372">
        <f t="shared" si="214"/>
        <v>172.4</v>
      </c>
      <c r="AH372">
        <f t="shared" si="215"/>
        <v>178.8</v>
      </c>
      <c r="AI372">
        <f t="shared" si="216"/>
        <v>168.7</v>
      </c>
      <c r="AJ372">
        <f t="shared" si="217"/>
        <v>179.2</v>
      </c>
      <c r="AK372">
        <f t="shared" si="218"/>
        <v>179.9</v>
      </c>
      <c r="AL372">
        <f t="shared" si="219"/>
        <v>174.7</v>
      </c>
      <c r="AM372">
        <f t="shared" si="220"/>
        <v>123.1</v>
      </c>
      <c r="AN372">
        <f t="shared" si="221"/>
        <v>207.8</v>
      </c>
      <c r="AO372">
        <f t="shared" si="222"/>
        <v>165.5</v>
      </c>
      <c r="AP372">
        <f t="shared" si="223"/>
        <v>197</v>
      </c>
      <c r="AQ372">
        <f t="shared" si="224"/>
        <v>182.1</v>
      </c>
      <c r="AR372">
        <f t="shared" si="225"/>
        <v>203.5</v>
      </c>
      <c r="AS372">
        <f t="shared" si="226"/>
        <v>181</v>
      </c>
      <c r="AT372">
        <f t="shared" si="227"/>
        <v>167.7</v>
      </c>
      <c r="AU372">
        <f t="shared" si="228"/>
        <v>178.9</v>
      </c>
      <c r="AV372">
        <f t="shared" si="229"/>
        <v>175.2</v>
      </c>
      <c r="AW372">
        <f t="shared" si="230"/>
        <v>182.1</v>
      </c>
      <c r="AX372">
        <f t="shared" si="231"/>
        <v>169.6</v>
      </c>
      <c r="AY372">
        <f t="shared" si="232"/>
        <v>181.5</v>
      </c>
      <c r="AZ372">
        <f t="shared" si="233"/>
        <v>160.1</v>
      </c>
      <c r="BA372">
        <f t="shared" si="234"/>
        <v>168.8</v>
      </c>
      <c r="BB372">
        <f t="shared" si="235"/>
        <v>174.2</v>
      </c>
      <c r="BC372">
        <f t="shared" si="236"/>
        <v>184.4</v>
      </c>
      <c r="BD372">
        <f t="shared" si="237"/>
        <v>170.9</v>
      </c>
      <c r="BE372">
        <f t="shared" si="238"/>
        <v>177.4</v>
      </c>
      <c r="BF372">
        <f t="shared" si="239"/>
        <v>2317.7000000000003</v>
      </c>
      <c r="BG372">
        <f t="shared" si="240"/>
        <v>527.6</v>
      </c>
      <c r="BH372">
        <f t="shared" si="241"/>
        <v>365.9</v>
      </c>
      <c r="BI372">
        <f t="shared" si="242"/>
        <v>519</v>
      </c>
      <c r="BJ372">
        <f t="shared" si="243"/>
        <v>543.20000000000005</v>
      </c>
      <c r="BK372">
        <f t="shared" si="244"/>
        <v>342.2</v>
      </c>
    </row>
    <row r="373" spans="1:63" x14ac:dyDescent="0.35">
      <c r="A373" t="s">
        <v>34</v>
      </c>
      <c r="B373">
        <v>2023</v>
      </c>
      <c r="C373" t="s">
        <v>37</v>
      </c>
      <c r="D373">
        <v>173.8</v>
      </c>
      <c r="E373">
        <v>209.3</v>
      </c>
      <c r="F373">
        <v>169.6</v>
      </c>
      <c r="G373">
        <v>178.4</v>
      </c>
      <c r="H373">
        <v>174.9</v>
      </c>
      <c r="I373">
        <v>176.3</v>
      </c>
      <c r="J373">
        <v>155.4</v>
      </c>
      <c r="K373">
        <v>173.4</v>
      </c>
      <c r="L373">
        <v>121.3</v>
      </c>
      <c r="M373">
        <v>212.9</v>
      </c>
      <c r="N373">
        <v>172.9</v>
      </c>
      <c r="O373">
        <v>193.5</v>
      </c>
      <c r="P373">
        <v>177.9</v>
      </c>
      <c r="Q373">
        <v>200.6</v>
      </c>
      <c r="R373">
        <v>186.9</v>
      </c>
      <c r="S373">
        <v>179.2</v>
      </c>
      <c r="T373">
        <v>185.7</v>
      </c>
      <c r="U373">
        <v>175.2</v>
      </c>
      <c r="V373">
        <v>181.7</v>
      </c>
      <c r="W373">
        <v>174.6</v>
      </c>
      <c r="X373">
        <v>185</v>
      </c>
      <c r="Y373">
        <v>164.5</v>
      </c>
      <c r="Z373">
        <v>170.7</v>
      </c>
      <c r="AA373">
        <v>176.4</v>
      </c>
      <c r="AB373">
        <v>184</v>
      </c>
      <c r="AC373">
        <v>175</v>
      </c>
      <c r="AD373">
        <v>178.1</v>
      </c>
      <c r="AE373">
        <f t="shared" si="212"/>
        <v>173.8</v>
      </c>
      <c r="AF373">
        <f t="shared" si="213"/>
        <v>209.3</v>
      </c>
      <c r="AG373">
        <f t="shared" si="214"/>
        <v>169.6</v>
      </c>
      <c r="AH373">
        <f t="shared" si="215"/>
        <v>178.4</v>
      </c>
      <c r="AI373">
        <f t="shared" si="216"/>
        <v>174.9</v>
      </c>
      <c r="AJ373">
        <f t="shared" si="217"/>
        <v>176.3</v>
      </c>
      <c r="AK373">
        <f t="shared" si="218"/>
        <v>155.4</v>
      </c>
      <c r="AL373">
        <f t="shared" si="219"/>
        <v>173.4</v>
      </c>
      <c r="AM373">
        <f t="shared" si="220"/>
        <v>121.3</v>
      </c>
      <c r="AN373">
        <f t="shared" si="221"/>
        <v>212.9</v>
      </c>
      <c r="AO373">
        <f t="shared" si="222"/>
        <v>172.9</v>
      </c>
      <c r="AP373">
        <f t="shared" si="223"/>
        <v>193.5</v>
      </c>
      <c r="AQ373">
        <f t="shared" si="224"/>
        <v>177.9</v>
      </c>
      <c r="AR373">
        <f t="shared" si="225"/>
        <v>200.6</v>
      </c>
      <c r="AS373">
        <f t="shared" si="226"/>
        <v>186.9</v>
      </c>
      <c r="AT373">
        <f t="shared" si="227"/>
        <v>179.2</v>
      </c>
      <c r="AU373">
        <f t="shared" si="228"/>
        <v>185.7</v>
      </c>
      <c r="AV373">
        <f t="shared" si="229"/>
        <v>175.2</v>
      </c>
      <c r="AW373">
        <f t="shared" si="230"/>
        <v>181.7</v>
      </c>
      <c r="AX373">
        <f t="shared" si="231"/>
        <v>174.6</v>
      </c>
      <c r="AY373">
        <f t="shared" si="232"/>
        <v>185</v>
      </c>
      <c r="AZ373">
        <f t="shared" si="233"/>
        <v>164.5</v>
      </c>
      <c r="BA373">
        <f t="shared" si="234"/>
        <v>170.7</v>
      </c>
      <c r="BB373">
        <f t="shared" si="235"/>
        <v>176.4</v>
      </c>
      <c r="BC373">
        <f t="shared" si="236"/>
        <v>184</v>
      </c>
      <c r="BD373">
        <f t="shared" si="237"/>
        <v>175</v>
      </c>
      <c r="BE373">
        <f t="shared" si="238"/>
        <v>178.1</v>
      </c>
      <c r="BF373">
        <f t="shared" si="239"/>
        <v>2289.6000000000004</v>
      </c>
      <c r="BG373">
        <f t="shared" si="240"/>
        <v>551.79999999999995</v>
      </c>
      <c r="BH373">
        <f t="shared" si="241"/>
        <v>369</v>
      </c>
      <c r="BI373">
        <f t="shared" si="242"/>
        <v>526.20000000000005</v>
      </c>
      <c r="BJ373">
        <f t="shared" si="243"/>
        <v>546.29999999999995</v>
      </c>
      <c r="BK373">
        <f t="shared" si="244"/>
        <v>346.2</v>
      </c>
    </row>
    <row r="374" spans="1:63" x14ac:dyDescent="0.35">
      <c r="A374" t="s">
        <v>30</v>
      </c>
      <c r="B374">
        <v>2023</v>
      </c>
      <c r="C374" t="s">
        <v>38</v>
      </c>
      <c r="D374">
        <v>173.2</v>
      </c>
      <c r="E374">
        <v>211.5</v>
      </c>
      <c r="F374">
        <v>171</v>
      </c>
      <c r="G374">
        <v>179.6</v>
      </c>
      <c r="H374">
        <v>173.3</v>
      </c>
      <c r="I374">
        <v>169</v>
      </c>
      <c r="J374">
        <v>148.69999999999999</v>
      </c>
      <c r="K374">
        <v>174.9</v>
      </c>
      <c r="L374">
        <v>121.9</v>
      </c>
      <c r="M374">
        <v>221</v>
      </c>
      <c r="N374">
        <v>178.7</v>
      </c>
      <c r="O374">
        <v>191.1</v>
      </c>
      <c r="P374">
        <v>176.8</v>
      </c>
      <c r="Q374">
        <v>199.9</v>
      </c>
      <c r="R374">
        <v>191.2</v>
      </c>
      <c r="S374">
        <v>187.9</v>
      </c>
      <c r="T374">
        <v>190.8</v>
      </c>
      <c r="U374" t="s">
        <v>47</v>
      </c>
      <c r="V374">
        <v>182.5</v>
      </c>
      <c r="W374">
        <v>179.8</v>
      </c>
      <c r="X374">
        <v>187.8</v>
      </c>
      <c r="Y374">
        <v>169.7</v>
      </c>
      <c r="Z374">
        <v>173.8</v>
      </c>
      <c r="AA374">
        <v>180.3</v>
      </c>
      <c r="AB374">
        <v>184.9</v>
      </c>
      <c r="AC374">
        <v>179.5</v>
      </c>
      <c r="AD374">
        <v>179.8</v>
      </c>
      <c r="AE374">
        <f t="shared" si="212"/>
        <v>173.2</v>
      </c>
      <c r="AF374">
        <f t="shared" si="213"/>
        <v>211.5</v>
      </c>
      <c r="AG374">
        <f t="shared" si="214"/>
        <v>171</v>
      </c>
      <c r="AH374">
        <f t="shared" si="215"/>
        <v>179.6</v>
      </c>
      <c r="AI374">
        <f t="shared" si="216"/>
        <v>173.3</v>
      </c>
      <c r="AJ374">
        <f t="shared" si="217"/>
        <v>169</v>
      </c>
      <c r="AK374">
        <f t="shared" si="218"/>
        <v>148.69999999999999</v>
      </c>
      <c r="AL374">
        <f t="shared" si="219"/>
        <v>174.9</v>
      </c>
      <c r="AM374">
        <f t="shared" si="220"/>
        <v>121.9</v>
      </c>
      <c r="AN374">
        <f t="shared" si="221"/>
        <v>221</v>
      </c>
      <c r="AO374">
        <f t="shared" si="222"/>
        <v>178.7</v>
      </c>
      <c r="AP374">
        <f t="shared" si="223"/>
        <v>191.1</v>
      </c>
      <c r="AQ374">
        <f t="shared" si="224"/>
        <v>176.8</v>
      </c>
      <c r="AR374">
        <f t="shared" si="225"/>
        <v>199.9</v>
      </c>
      <c r="AS374">
        <f t="shared" si="226"/>
        <v>191.2</v>
      </c>
      <c r="AT374">
        <f t="shared" si="227"/>
        <v>187.9</v>
      </c>
      <c r="AU374">
        <f t="shared" si="228"/>
        <v>190.8</v>
      </c>
      <c r="AV374">
        <f t="shared" si="229"/>
        <v>175.6</v>
      </c>
      <c r="AW374">
        <f t="shared" si="230"/>
        <v>182.5</v>
      </c>
      <c r="AX374">
        <f t="shared" si="231"/>
        <v>179.8</v>
      </c>
      <c r="AY374">
        <f t="shared" si="232"/>
        <v>187.8</v>
      </c>
      <c r="AZ374">
        <f t="shared" si="233"/>
        <v>169.7</v>
      </c>
      <c r="BA374">
        <f t="shared" si="234"/>
        <v>173.8</v>
      </c>
      <c r="BB374">
        <f t="shared" si="235"/>
        <v>180.3</v>
      </c>
      <c r="BC374">
        <f t="shared" si="236"/>
        <v>184.9</v>
      </c>
      <c r="BD374">
        <f t="shared" si="237"/>
        <v>179.5</v>
      </c>
      <c r="BE374">
        <f t="shared" si="238"/>
        <v>179.8</v>
      </c>
      <c r="BF374">
        <f t="shared" si="239"/>
        <v>2290.7000000000007</v>
      </c>
      <c r="BG374">
        <f t="shared" si="240"/>
        <v>569.90000000000009</v>
      </c>
      <c r="BH374">
        <f t="shared" si="241"/>
        <v>372.70000000000005</v>
      </c>
      <c r="BI374">
        <f t="shared" si="242"/>
        <v>535.70000000000005</v>
      </c>
      <c r="BJ374">
        <f t="shared" si="243"/>
        <v>553.20000000000005</v>
      </c>
      <c r="BK374">
        <f t="shared" si="244"/>
        <v>352.2</v>
      </c>
    </row>
    <row r="375" spans="1:63" x14ac:dyDescent="0.35">
      <c r="A375" t="s">
        <v>33</v>
      </c>
      <c r="B375">
        <v>2023</v>
      </c>
      <c r="C375" t="s">
        <v>38</v>
      </c>
      <c r="D375">
        <v>174.7</v>
      </c>
      <c r="E375">
        <v>219.4</v>
      </c>
      <c r="F375">
        <v>176.7</v>
      </c>
      <c r="G375">
        <v>179.4</v>
      </c>
      <c r="H375">
        <v>164.4</v>
      </c>
      <c r="I375">
        <v>175.8</v>
      </c>
      <c r="J375">
        <v>185</v>
      </c>
      <c r="K375">
        <v>176.9</v>
      </c>
      <c r="L375">
        <v>124.2</v>
      </c>
      <c r="M375">
        <v>211.9</v>
      </c>
      <c r="N375">
        <v>165.9</v>
      </c>
      <c r="O375">
        <v>197.7</v>
      </c>
      <c r="P375">
        <v>183.1</v>
      </c>
      <c r="Q375">
        <v>204.2</v>
      </c>
      <c r="R375">
        <v>181.3</v>
      </c>
      <c r="S375">
        <v>168.1</v>
      </c>
      <c r="T375">
        <v>179.3</v>
      </c>
      <c r="U375">
        <v>175.6</v>
      </c>
      <c r="V375">
        <v>183.4</v>
      </c>
      <c r="W375">
        <v>170.1</v>
      </c>
      <c r="X375">
        <v>182.2</v>
      </c>
      <c r="Y375">
        <v>160.4</v>
      </c>
      <c r="Z375">
        <v>169.2</v>
      </c>
      <c r="AA375">
        <v>174.8</v>
      </c>
      <c r="AB375">
        <v>185.6</v>
      </c>
      <c r="AC375">
        <v>171.6</v>
      </c>
      <c r="AD375">
        <v>178.2</v>
      </c>
      <c r="AE375">
        <f t="shared" si="212"/>
        <v>174.7</v>
      </c>
      <c r="AF375">
        <f t="shared" si="213"/>
        <v>219.4</v>
      </c>
      <c r="AG375">
        <f t="shared" si="214"/>
        <v>176.7</v>
      </c>
      <c r="AH375">
        <f t="shared" si="215"/>
        <v>179.4</v>
      </c>
      <c r="AI375">
        <f t="shared" si="216"/>
        <v>164.4</v>
      </c>
      <c r="AJ375">
        <f t="shared" si="217"/>
        <v>175.8</v>
      </c>
      <c r="AK375">
        <f t="shared" si="218"/>
        <v>185</v>
      </c>
      <c r="AL375">
        <f t="shared" si="219"/>
        <v>176.9</v>
      </c>
      <c r="AM375">
        <f t="shared" si="220"/>
        <v>124.2</v>
      </c>
      <c r="AN375">
        <f t="shared" si="221"/>
        <v>211.9</v>
      </c>
      <c r="AO375">
        <f t="shared" si="222"/>
        <v>165.9</v>
      </c>
      <c r="AP375">
        <f t="shared" si="223"/>
        <v>197.7</v>
      </c>
      <c r="AQ375">
        <f t="shared" si="224"/>
        <v>183.1</v>
      </c>
      <c r="AR375">
        <f t="shared" si="225"/>
        <v>204.2</v>
      </c>
      <c r="AS375">
        <f t="shared" si="226"/>
        <v>181.3</v>
      </c>
      <c r="AT375">
        <f t="shared" si="227"/>
        <v>168.1</v>
      </c>
      <c r="AU375">
        <f t="shared" si="228"/>
        <v>179.3</v>
      </c>
      <c r="AV375">
        <f t="shared" si="229"/>
        <v>175.6</v>
      </c>
      <c r="AW375">
        <f t="shared" si="230"/>
        <v>183.4</v>
      </c>
      <c r="AX375">
        <f t="shared" si="231"/>
        <v>170.1</v>
      </c>
      <c r="AY375">
        <f t="shared" si="232"/>
        <v>182.2</v>
      </c>
      <c r="AZ375">
        <f t="shared" si="233"/>
        <v>160.4</v>
      </c>
      <c r="BA375">
        <f t="shared" si="234"/>
        <v>169.2</v>
      </c>
      <c r="BB375">
        <f t="shared" si="235"/>
        <v>174.8</v>
      </c>
      <c r="BC375">
        <f t="shared" si="236"/>
        <v>185.6</v>
      </c>
      <c r="BD375">
        <f t="shared" si="237"/>
        <v>171.6</v>
      </c>
      <c r="BE375">
        <f t="shared" si="238"/>
        <v>178.2</v>
      </c>
      <c r="BF375">
        <f t="shared" si="239"/>
        <v>2335.1</v>
      </c>
      <c r="BG375">
        <f t="shared" si="240"/>
        <v>528.70000000000005</v>
      </c>
      <c r="BH375">
        <f t="shared" si="241"/>
        <v>367.79999999999995</v>
      </c>
      <c r="BI375">
        <f t="shared" si="242"/>
        <v>520.5</v>
      </c>
      <c r="BJ375">
        <f t="shared" si="243"/>
        <v>545</v>
      </c>
      <c r="BK375">
        <f t="shared" si="244"/>
        <v>343.8</v>
      </c>
    </row>
    <row r="376" spans="1:63" x14ac:dyDescent="0.35">
      <c r="A376" t="s">
        <v>34</v>
      </c>
      <c r="B376">
        <v>2023</v>
      </c>
      <c r="C376" t="s">
        <v>38</v>
      </c>
      <c r="D376">
        <v>173.7</v>
      </c>
      <c r="E376">
        <v>214.3</v>
      </c>
      <c r="F376">
        <v>173.2</v>
      </c>
      <c r="G376">
        <v>179.5</v>
      </c>
      <c r="H376">
        <v>170</v>
      </c>
      <c r="I376">
        <v>172.2</v>
      </c>
      <c r="J376">
        <v>161</v>
      </c>
      <c r="K376">
        <v>175.6</v>
      </c>
      <c r="L376">
        <v>122.7</v>
      </c>
      <c r="M376">
        <v>218</v>
      </c>
      <c r="N376">
        <v>173.4</v>
      </c>
      <c r="O376">
        <v>194.2</v>
      </c>
      <c r="P376">
        <v>179.1</v>
      </c>
      <c r="Q376">
        <v>201</v>
      </c>
      <c r="R376">
        <v>187.3</v>
      </c>
      <c r="S376">
        <v>179.7</v>
      </c>
      <c r="T376">
        <v>186.2</v>
      </c>
      <c r="U376">
        <v>175.6</v>
      </c>
      <c r="V376">
        <v>182.8</v>
      </c>
      <c r="W376">
        <v>175.2</v>
      </c>
      <c r="X376">
        <v>185.7</v>
      </c>
      <c r="Y376">
        <v>164.8</v>
      </c>
      <c r="Z376">
        <v>171.2</v>
      </c>
      <c r="AA376">
        <v>177.1</v>
      </c>
      <c r="AB376">
        <v>185.2</v>
      </c>
      <c r="AC376">
        <v>175.7</v>
      </c>
      <c r="AD376">
        <v>179.1</v>
      </c>
      <c r="AE376">
        <f t="shared" si="212"/>
        <v>173.7</v>
      </c>
      <c r="AF376">
        <f t="shared" si="213"/>
        <v>214.3</v>
      </c>
      <c r="AG376">
        <f t="shared" si="214"/>
        <v>173.2</v>
      </c>
      <c r="AH376">
        <f t="shared" si="215"/>
        <v>179.5</v>
      </c>
      <c r="AI376">
        <f t="shared" si="216"/>
        <v>170</v>
      </c>
      <c r="AJ376">
        <f t="shared" si="217"/>
        <v>172.2</v>
      </c>
      <c r="AK376">
        <f t="shared" si="218"/>
        <v>161</v>
      </c>
      <c r="AL376">
        <f t="shared" si="219"/>
        <v>175.6</v>
      </c>
      <c r="AM376">
        <f t="shared" si="220"/>
        <v>122.7</v>
      </c>
      <c r="AN376">
        <f t="shared" si="221"/>
        <v>218</v>
      </c>
      <c r="AO376">
        <f t="shared" si="222"/>
        <v>173.4</v>
      </c>
      <c r="AP376">
        <f t="shared" si="223"/>
        <v>194.2</v>
      </c>
      <c r="AQ376">
        <f t="shared" si="224"/>
        <v>179.1</v>
      </c>
      <c r="AR376">
        <f t="shared" si="225"/>
        <v>201</v>
      </c>
      <c r="AS376">
        <f t="shared" si="226"/>
        <v>187.3</v>
      </c>
      <c r="AT376">
        <f t="shared" si="227"/>
        <v>179.7</v>
      </c>
      <c r="AU376">
        <f t="shared" si="228"/>
        <v>186.2</v>
      </c>
      <c r="AV376">
        <f t="shared" si="229"/>
        <v>175.6</v>
      </c>
      <c r="AW376">
        <f t="shared" si="230"/>
        <v>182.8</v>
      </c>
      <c r="AX376">
        <f t="shared" si="231"/>
        <v>175.2</v>
      </c>
      <c r="AY376">
        <f t="shared" si="232"/>
        <v>185.7</v>
      </c>
      <c r="AZ376">
        <f t="shared" si="233"/>
        <v>164.8</v>
      </c>
      <c r="BA376">
        <f t="shared" si="234"/>
        <v>171.2</v>
      </c>
      <c r="BB376">
        <f t="shared" si="235"/>
        <v>177.1</v>
      </c>
      <c r="BC376">
        <f t="shared" si="236"/>
        <v>185.2</v>
      </c>
      <c r="BD376">
        <f t="shared" si="237"/>
        <v>175.7</v>
      </c>
      <c r="BE376">
        <f t="shared" si="238"/>
        <v>179.1</v>
      </c>
      <c r="BF376">
        <f t="shared" si="239"/>
        <v>2306.9</v>
      </c>
      <c r="BG376">
        <f t="shared" si="240"/>
        <v>553.20000000000005</v>
      </c>
      <c r="BH376">
        <f t="shared" si="241"/>
        <v>370.9</v>
      </c>
      <c r="BI376">
        <f t="shared" si="242"/>
        <v>527.9</v>
      </c>
      <c r="BJ376">
        <f t="shared" si="243"/>
        <v>547.9</v>
      </c>
      <c r="BK376">
        <f t="shared" si="244"/>
        <v>347.6</v>
      </c>
    </row>
  </sheetData>
  <autoFilter ref="A1:BK376" xr:uid="{98E7291C-BC46-4444-A0ED-AA8925F8E55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02ECC-9FF7-4D3C-865D-628B6E895393}">
  <dimension ref="C3:Q11"/>
  <sheetViews>
    <sheetView topLeftCell="A3" zoomScaleNormal="100" workbookViewId="0">
      <selection activeCell="G10" sqref="G10"/>
    </sheetView>
  </sheetViews>
  <sheetFormatPr defaultRowHeight="14.5" x14ac:dyDescent="0.35"/>
  <cols>
    <col min="3" max="3" width="11.6328125" customWidth="1"/>
    <col min="4" max="4" width="12.54296875" customWidth="1"/>
    <col min="5" max="5" width="15.453125" customWidth="1"/>
    <col min="6" max="8" width="10.36328125" customWidth="1"/>
    <col min="9" max="9" width="12" bestFit="1" customWidth="1"/>
    <col min="10" max="10" width="13.81640625" bestFit="1" customWidth="1"/>
    <col min="11" max="11" width="15.90625" bestFit="1" customWidth="1"/>
    <col min="12" max="14" width="10.36328125" customWidth="1"/>
    <col min="15" max="15" width="12" bestFit="1" customWidth="1"/>
    <col min="16" max="16" width="12.90625" bestFit="1" customWidth="1"/>
    <col min="17" max="17" width="15.90625" bestFit="1" customWidth="1"/>
  </cols>
  <sheetData>
    <row r="3" spans="3:17" x14ac:dyDescent="0.35">
      <c r="C3" s="51" t="s">
        <v>59</v>
      </c>
      <c r="D3" s="51"/>
      <c r="E3" s="51"/>
      <c r="I3" s="51" t="s">
        <v>60</v>
      </c>
      <c r="J3" s="51"/>
      <c r="K3" s="51"/>
      <c r="O3" s="51" t="s">
        <v>61</v>
      </c>
      <c r="P3" s="51"/>
      <c r="Q3" s="51"/>
    </row>
    <row r="4" spans="3:17" x14ac:dyDescent="0.35">
      <c r="C4" s="1" t="s">
        <v>54</v>
      </c>
      <c r="D4" s="1" t="s">
        <v>55</v>
      </c>
      <c r="E4" s="1" t="s">
        <v>56</v>
      </c>
      <c r="I4" s="1" t="s">
        <v>54</v>
      </c>
      <c r="J4" s="1" t="s">
        <v>58</v>
      </c>
      <c r="K4" s="1" t="s">
        <v>56</v>
      </c>
      <c r="O4" s="1" t="s">
        <v>54</v>
      </c>
      <c r="P4" s="1" t="s">
        <v>55</v>
      </c>
      <c r="Q4" s="1" t="s">
        <v>56</v>
      </c>
    </row>
    <row r="5" spans="3:17" x14ac:dyDescent="0.35">
      <c r="C5" s="5" t="s">
        <v>48</v>
      </c>
      <c r="D5">
        <v>2290.7000000000007</v>
      </c>
      <c r="E5" s="4">
        <f>D5/$D$11</f>
        <v>0.4900521992127333</v>
      </c>
      <c r="I5" s="5" t="s">
        <v>48</v>
      </c>
      <c r="J5">
        <v>2335.1</v>
      </c>
      <c r="K5" s="4">
        <f>Table13[[#This Row],[CPI at Urban]]/$J$11</f>
        <v>0.50315671529229233</v>
      </c>
      <c r="O5" s="5" t="s">
        <v>48</v>
      </c>
      <c r="P5">
        <v>2306.9</v>
      </c>
      <c r="Q5" s="4">
        <f>Table14[[#This Row],[CPI at Rural]]/$P$11</f>
        <v>0.49563853557923682</v>
      </c>
    </row>
    <row r="6" spans="3:17" x14ac:dyDescent="0.35">
      <c r="C6" s="5" t="s">
        <v>49</v>
      </c>
      <c r="D6">
        <v>569.90000000000009</v>
      </c>
      <c r="E6" s="4">
        <f t="shared" ref="E6:E10" si="0">D6/$D$11</f>
        <v>0.12191939072394319</v>
      </c>
      <c r="I6" s="5" t="s">
        <v>49</v>
      </c>
      <c r="J6">
        <v>528.70000000000005</v>
      </c>
      <c r="K6" s="4">
        <f>Table13[[#This Row],[CPI at Urban]]/$J$11</f>
        <v>0.11392186860307267</v>
      </c>
      <c r="O6" s="5" t="s">
        <v>49</v>
      </c>
      <c r="P6">
        <v>553.20000000000005</v>
      </c>
      <c r="Q6" s="4">
        <f>Table14[[#This Row],[CPI at Rural]]/$P$11</f>
        <v>0.11885527672739772</v>
      </c>
    </row>
    <row r="7" spans="3:17" x14ac:dyDescent="0.35">
      <c r="C7" s="5" t="s">
        <v>50</v>
      </c>
      <c r="D7">
        <v>372.70000000000005</v>
      </c>
      <c r="E7" s="4">
        <f t="shared" si="0"/>
        <v>7.9732158137942835E-2</v>
      </c>
      <c r="I7" s="5" t="s">
        <v>50</v>
      </c>
      <c r="J7">
        <v>367.79999999999995</v>
      </c>
      <c r="K7" s="4">
        <f>Table13[[#This Row],[CPI at Urban]]/$J$11</f>
        <v>7.9251869249499007E-2</v>
      </c>
      <c r="O7" s="5" t="s">
        <v>50</v>
      </c>
      <c r="P7">
        <v>370.9</v>
      </c>
      <c r="Q7" s="4">
        <f>Table14[[#This Row],[CPI at Rural]]/$P$11</f>
        <v>7.9688037126160183E-2</v>
      </c>
    </row>
    <row r="8" spans="3:17" x14ac:dyDescent="0.35">
      <c r="C8" s="5" t="s">
        <v>51</v>
      </c>
      <c r="D8">
        <v>535.70000000000005</v>
      </c>
      <c r="E8" s="4">
        <f t="shared" si="0"/>
        <v>0.11460294369330823</v>
      </c>
      <c r="I8" s="5" t="s">
        <v>51</v>
      </c>
      <c r="J8">
        <v>520.5</v>
      </c>
      <c r="K8" s="4">
        <f>Table13[[#This Row],[CPI at Urban]]/$J$11</f>
        <v>0.11215496994117519</v>
      </c>
      <c r="O8" s="5" t="s">
        <v>51</v>
      </c>
      <c r="P8">
        <v>527.9</v>
      </c>
      <c r="Q8" s="4">
        <f>Table14[[#This Row],[CPI at Rural]]/$P$11</f>
        <v>0.11341955998624956</v>
      </c>
    </row>
    <row r="9" spans="3:17" x14ac:dyDescent="0.35">
      <c r="C9" s="5" t="s">
        <v>52</v>
      </c>
      <c r="D9">
        <v>553.20000000000005</v>
      </c>
      <c r="E9" s="4">
        <f t="shared" si="0"/>
        <v>0.11834673968851617</v>
      </c>
      <c r="I9" s="5" t="s">
        <v>52</v>
      </c>
      <c r="J9">
        <v>545</v>
      </c>
      <c r="K9" s="4">
        <f>Table13[[#This Row],[CPI at Urban]]/$J$11</f>
        <v>0.11743411838221034</v>
      </c>
      <c r="O9" s="5" t="s">
        <v>52</v>
      </c>
      <c r="P9">
        <v>547.9</v>
      </c>
      <c r="Q9" s="4">
        <f>Table14[[#This Row],[CPI at Rural]]/$P$11</f>
        <v>0.1177165692677896</v>
      </c>
    </row>
    <row r="10" spans="3:17" x14ac:dyDescent="0.35">
      <c r="C10" s="5" t="s">
        <v>53</v>
      </c>
      <c r="D10">
        <v>352.2</v>
      </c>
      <c r="E10" s="4">
        <f t="shared" si="0"/>
        <v>7.5346568543556383E-2</v>
      </c>
      <c r="I10" s="5" t="s">
        <v>53</v>
      </c>
      <c r="J10">
        <v>343.8</v>
      </c>
      <c r="K10" s="4">
        <f>Table13[[#This Row],[CPI at Urban]]/$J$11</f>
        <v>7.4080458531750298E-2</v>
      </c>
      <c r="O10" s="5" t="s">
        <v>53</v>
      </c>
      <c r="P10">
        <v>347.6</v>
      </c>
      <c r="Q10" s="4">
        <f>Table14[[#This Row],[CPI at Rural]]/$P$11</f>
        <v>7.4682021313166036E-2</v>
      </c>
    </row>
    <row r="11" spans="3:17" x14ac:dyDescent="0.35">
      <c r="C11" s="6" t="s">
        <v>57</v>
      </c>
      <c r="D11" s="7">
        <f>SUM(D5:D10)</f>
        <v>4674.4000000000005</v>
      </c>
      <c r="E11" s="8">
        <f>SUM(E5:E10)</f>
        <v>1.0000000000000002</v>
      </c>
      <c r="I11" s="6" t="s">
        <v>57</v>
      </c>
      <c r="J11" s="7">
        <f>SUM(J5:J10)</f>
        <v>4640.9000000000005</v>
      </c>
      <c r="K11" s="8">
        <f>SUM(K5:K10)</f>
        <v>0.99999999999999978</v>
      </c>
      <c r="O11" s="6" t="s">
        <v>57</v>
      </c>
      <c r="P11" s="7">
        <f>SUM(P5:P10)</f>
        <v>4654.4000000000005</v>
      </c>
      <c r="Q11" s="8">
        <f>SUM(Q5:Q10)</f>
        <v>0.99999999999999989</v>
      </c>
    </row>
  </sheetData>
  <mergeCells count="3">
    <mergeCell ref="C3:E3"/>
    <mergeCell ref="I3:K3"/>
    <mergeCell ref="O3:Q3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6908-D294-4E46-BDA6-4ED3F1CAB51D}">
  <dimension ref="B3:O16"/>
  <sheetViews>
    <sheetView workbookViewId="0">
      <selection activeCell="U23" sqref="U23"/>
    </sheetView>
  </sheetViews>
  <sheetFormatPr defaultRowHeight="14.5" x14ac:dyDescent="0.35"/>
  <cols>
    <col min="2" max="2" width="11.1796875" bestFit="1" customWidth="1"/>
    <col min="3" max="3" width="6.54296875" customWidth="1"/>
    <col min="4" max="4" width="9.36328125" bestFit="1" customWidth="1"/>
    <col min="5" max="5" width="7.6328125" customWidth="1"/>
    <col min="6" max="6" width="11.54296875" customWidth="1"/>
    <col min="7" max="7" width="9.453125" customWidth="1"/>
    <col min="8" max="8" width="12.90625" customWidth="1"/>
    <col min="9" max="9" width="11.1796875" customWidth="1"/>
    <col min="10" max="10" width="9.54296875" customWidth="1"/>
    <col min="11" max="11" width="12" bestFit="1" customWidth="1"/>
    <col min="15" max="15" width="15.54296875" customWidth="1"/>
  </cols>
  <sheetData>
    <row r="3" spans="2:15" x14ac:dyDescent="0.35">
      <c r="B3" s="15" t="s">
        <v>0</v>
      </c>
      <c r="C3" s="16" t="s">
        <v>1</v>
      </c>
      <c r="D3" s="16" t="s">
        <v>2</v>
      </c>
      <c r="E3" s="16" t="s">
        <v>48</v>
      </c>
      <c r="F3" s="16" t="s">
        <v>49</v>
      </c>
      <c r="G3" s="16" t="s">
        <v>50</v>
      </c>
      <c r="H3" s="16" t="s">
        <v>51</v>
      </c>
      <c r="I3" s="16" t="s">
        <v>52</v>
      </c>
      <c r="J3" s="16" t="s">
        <v>53</v>
      </c>
      <c r="K3" s="17" t="s">
        <v>62</v>
      </c>
    </row>
    <row r="4" spans="2:15" x14ac:dyDescent="0.35">
      <c r="B4" s="10" t="s">
        <v>34</v>
      </c>
      <c r="C4" s="9">
        <v>2017</v>
      </c>
      <c r="D4" s="9" t="s">
        <v>31</v>
      </c>
      <c r="E4" s="9">
        <v>1727.2999999999995</v>
      </c>
      <c r="F4" s="9">
        <v>402.4</v>
      </c>
      <c r="G4" s="9">
        <v>248.8</v>
      </c>
      <c r="H4" s="9">
        <v>392.30000000000007</v>
      </c>
      <c r="I4" s="9">
        <v>392.4</v>
      </c>
      <c r="J4" s="9">
        <v>243.8</v>
      </c>
      <c r="K4" s="11">
        <f>AVERAGE(E4:J4)</f>
        <v>567.83333333333337</v>
      </c>
    </row>
    <row r="5" spans="2:15" x14ac:dyDescent="0.35">
      <c r="B5" s="10" t="s">
        <v>34</v>
      </c>
      <c r="C5" s="9">
        <v>2017</v>
      </c>
      <c r="D5" s="9" t="s">
        <v>46</v>
      </c>
      <c r="E5" s="9">
        <v>1794.9999999999998</v>
      </c>
      <c r="F5" s="9">
        <v>420.2</v>
      </c>
      <c r="G5" s="9">
        <v>259.60000000000002</v>
      </c>
      <c r="H5" s="9">
        <v>412.29999999999995</v>
      </c>
      <c r="I5" s="9">
        <v>411.79999999999995</v>
      </c>
      <c r="J5" s="9">
        <v>255.1</v>
      </c>
      <c r="K5" s="11">
        <f t="shared" ref="K5:K16" si="0">AVERAGE(E5:J5)</f>
        <v>592.33333333333326</v>
      </c>
      <c r="N5" t="s">
        <v>63</v>
      </c>
      <c r="O5" t="s">
        <v>64</v>
      </c>
    </row>
    <row r="6" spans="2:15" x14ac:dyDescent="0.35">
      <c r="B6" s="10" t="s">
        <v>34</v>
      </c>
      <c r="C6" s="9">
        <v>2018</v>
      </c>
      <c r="D6" s="9" t="s">
        <v>31</v>
      </c>
      <c r="E6" s="9">
        <v>1779.9</v>
      </c>
      <c r="F6" s="9">
        <v>421.3</v>
      </c>
      <c r="G6" s="9">
        <v>260.60000000000002</v>
      </c>
      <c r="H6" s="9">
        <v>414.29999999999995</v>
      </c>
      <c r="I6" s="9">
        <v>413.5</v>
      </c>
      <c r="J6" s="9">
        <v>255.89999999999998</v>
      </c>
      <c r="K6" s="11">
        <f t="shared" si="0"/>
        <v>590.91666666666674</v>
      </c>
      <c r="N6">
        <v>2017</v>
      </c>
      <c r="O6" s="4">
        <f>(K5-K4)/K4</f>
        <v>4.3146463164073764E-2</v>
      </c>
    </row>
    <row r="7" spans="2:15" x14ac:dyDescent="0.35">
      <c r="B7" s="10" t="s">
        <v>34</v>
      </c>
      <c r="C7" s="9">
        <v>2018</v>
      </c>
      <c r="D7" s="9" t="s">
        <v>46</v>
      </c>
      <c r="E7" s="9">
        <v>1762.7999999999997</v>
      </c>
      <c r="F7" s="9">
        <v>434.3</v>
      </c>
      <c r="G7" s="9">
        <v>277.10000000000002</v>
      </c>
      <c r="H7" s="9">
        <v>439.79999999999995</v>
      </c>
      <c r="I7" s="9">
        <v>436.6</v>
      </c>
      <c r="J7" s="9">
        <v>266.29999999999995</v>
      </c>
      <c r="K7" s="11">
        <f t="shared" si="0"/>
        <v>602.81666666666661</v>
      </c>
      <c r="N7">
        <v>2018</v>
      </c>
      <c r="O7" s="4">
        <f>(K7-K6)/K6</f>
        <v>2.0138203356366992E-2</v>
      </c>
    </row>
    <row r="8" spans="2:15" x14ac:dyDescent="0.35">
      <c r="B8" s="10" t="s">
        <v>34</v>
      </c>
      <c r="C8" s="9">
        <v>2019</v>
      </c>
      <c r="D8" s="9" t="s">
        <v>31</v>
      </c>
      <c r="E8" s="9">
        <v>1753.3999999999999</v>
      </c>
      <c r="F8" s="9">
        <v>433</v>
      </c>
      <c r="G8" s="9">
        <v>277.89999999999998</v>
      </c>
      <c r="H8" s="9">
        <v>441.49999999999994</v>
      </c>
      <c r="I8" s="9">
        <v>436.79999999999995</v>
      </c>
      <c r="J8" s="9">
        <v>262.8</v>
      </c>
      <c r="K8" s="11">
        <f t="shared" si="0"/>
        <v>600.9</v>
      </c>
      <c r="N8">
        <v>2019</v>
      </c>
      <c r="O8" s="4">
        <f>(K9-K8)/K8</f>
        <v>7.0227991346314134E-2</v>
      </c>
    </row>
    <row r="9" spans="2:15" x14ac:dyDescent="0.35">
      <c r="B9" s="10" t="s">
        <v>34</v>
      </c>
      <c r="C9" s="9">
        <v>2019</v>
      </c>
      <c r="D9" s="9" t="s">
        <v>46</v>
      </c>
      <c r="E9" s="9">
        <v>1946.1000000000001</v>
      </c>
      <c r="F9" s="9">
        <v>440.6</v>
      </c>
      <c r="G9" s="9">
        <v>290.8</v>
      </c>
      <c r="H9" s="9">
        <v>454.3</v>
      </c>
      <c r="I9" s="9">
        <v>453.3</v>
      </c>
      <c r="J9" s="9">
        <v>273.5</v>
      </c>
      <c r="K9" s="11">
        <f t="shared" si="0"/>
        <v>643.10000000000014</v>
      </c>
      <c r="N9">
        <v>2020</v>
      </c>
      <c r="O9" s="4">
        <f>(K11-K10)/K10</f>
        <v>6.5817409766454366E-2</v>
      </c>
    </row>
    <row r="10" spans="2:15" x14ac:dyDescent="0.35">
      <c r="B10" s="10" t="s">
        <v>34</v>
      </c>
      <c r="C10" s="9">
        <v>2020</v>
      </c>
      <c r="D10" s="9" t="s">
        <v>31</v>
      </c>
      <c r="E10" s="9">
        <v>1940.3999999999999</v>
      </c>
      <c r="F10" s="9">
        <v>441.2</v>
      </c>
      <c r="G10" s="9">
        <v>293.5</v>
      </c>
      <c r="H10" s="9">
        <v>456.19999999999993</v>
      </c>
      <c r="I10" s="9">
        <v>455.4</v>
      </c>
      <c r="J10" s="9">
        <v>275.5</v>
      </c>
      <c r="K10" s="11">
        <f t="shared" si="0"/>
        <v>643.69999999999993</v>
      </c>
      <c r="N10">
        <v>2021</v>
      </c>
      <c r="O10" s="4">
        <f>(K13-K12)/K12</f>
        <v>5.8146637023282856E-2</v>
      </c>
    </row>
    <row r="11" spans="2:15" x14ac:dyDescent="0.35">
      <c r="B11" s="10" t="s">
        <v>34</v>
      </c>
      <c r="C11" s="9">
        <v>2020</v>
      </c>
      <c r="D11" s="9" t="s">
        <v>46</v>
      </c>
      <c r="E11" s="9">
        <v>2109.1</v>
      </c>
      <c r="F11" s="9">
        <v>454</v>
      </c>
      <c r="G11" s="9">
        <v>315.39999999999998</v>
      </c>
      <c r="H11" s="9">
        <v>467.5</v>
      </c>
      <c r="I11" s="9">
        <v>485.09999999999997</v>
      </c>
      <c r="J11" s="9">
        <v>285.29999999999995</v>
      </c>
      <c r="K11" s="11">
        <f t="shared" si="0"/>
        <v>686.06666666666661</v>
      </c>
      <c r="N11">
        <v>2022</v>
      </c>
      <c r="O11" s="4">
        <f>(K15-K14)/K14</f>
        <v>6.0118386977432374E-2</v>
      </c>
    </row>
    <row r="12" spans="2:15" x14ac:dyDescent="0.35">
      <c r="B12" s="10" t="s">
        <v>34</v>
      </c>
      <c r="C12" s="9">
        <v>2021</v>
      </c>
      <c r="D12" s="9" t="s">
        <v>31</v>
      </c>
      <c r="E12" s="9">
        <v>2076.5</v>
      </c>
      <c r="F12" s="9">
        <v>455.8</v>
      </c>
      <c r="G12" s="9">
        <v>316.10000000000002</v>
      </c>
      <c r="H12" s="9">
        <v>466.9</v>
      </c>
      <c r="I12" s="9">
        <v>488</v>
      </c>
      <c r="J12" s="9">
        <v>289.8</v>
      </c>
      <c r="K12" s="11">
        <f t="shared" si="0"/>
        <v>682.18333333333339</v>
      </c>
    </row>
    <row r="13" spans="2:15" x14ac:dyDescent="0.35">
      <c r="B13" s="10" t="s">
        <v>34</v>
      </c>
      <c r="C13" s="9">
        <v>2021</v>
      </c>
      <c r="D13" s="9" t="s">
        <v>46</v>
      </c>
      <c r="E13" s="9">
        <v>2180.9</v>
      </c>
      <c r="F13" s="9">
        <v>494.2</v>
      </c>
      <c r="G13" s="9">
        <v>333.2</v>
      </c>
      <c r="H13" s="9">
        <v>488</v>
      </c>
      <c r="I13" s="9">
        <v>515</v>
      </c>
      <c r="J13" s="9">
        <v>319.79999999999995</v>
      </c>
      <c r="K13" s="11">
        <f t="shared" si="0"/>
        <v>721.84999999999991</v>
      </c>
    </row>
    <row r="14" spans="2:15" x14ac:dyDescent="0.35">
      <c r="B14" s="10" t="s">
        <v>34</v>
      </c>
      <c r="C14" s="9">
        <v>2022</v>
      </c>
      <c r="D14" s="9" t="s">
        <v>31</v>
      </c>
      <c r="E14" s="9">
        <v>2164.1999999999998</v>
      </c>
      <c r="F14" s="9">
        <v>499.1</v>
      </c>
      <c r="G14" s="9">
        <v>334.4</v>
      </c>
      <c r="H14" s="9">
        <v>490.29999999999995</v>
      </c>
      <c r="I14" s="9">
        <v>516.09999999999991</v>
      </c>
      <c r="J14" s="9">
        <v>320.7</v>
      </c>
      <c r="K14" s="11">
        <f t="shared" si="0"/>
        <v>720.80000000000007</v>
      </c>
    </row>
    <row r="15" spans="2:15" x14ac:dyDescent="0.35">
      <c r="B15" s="10" t="s">
        <v>34</v>
      </c>
      <c r="C15" s="9">
        <v>2022</v>
      </c>
      <c r="D15" s="9" t="s">
        <v>46</v>
      </c>
      <c r="E15" s="9">
        <v>2283.4</v>
      </c>
      <c r="F15" s="9">
        <v>544</v>
      </c>
      <c r="G15" s="9">
        <v>356.9</v>
      </c>
      <c r="H15" s="9">
        <v>516.9</v>
      </c>
      <c r="I15" s="9">
        <v>538.20000000000005</v>
      </c>
      <c r="J15" s="9">
        <v>345.4</v>
      </c>
      <c r="K15" s="11">
        <f t="shared" si="0"/>
        <v>764.13333333333333</v>
      </c>
    </row>
    <row r="16" spans="2:15" x14ac:dyDescent="0.35">
      <c r="B16" s="12" t="s">
        <v>34</v>
      </c>
      <c r="C16" s="13">
        <v>2023</v>
      </c>
      <c r="D16" s="13" t="s">
        <v>31</v>
      </c>
      <c r="E16" s="13">
        <v>2292.6999999999998</v>
      </c>
      <c r="F16" s="13">
        <v>546.29999999999995</v>
      </c>
      <c r="G16" s="13">
        <v>360.9</v>
      </c>
      <c r="H16" s="13">
        <v>519.30000000000007</v>
      </c>
      <c r="I16" s="13">
        <v>540.5</v>
      </c>
      <c r="J16" s="13">
        <v>345.6</v>
      </c>
      <c r="K16" s="14">
        <f t="shared" si="0"/>
        <v>767.55000000000018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472B-3013-446A-BCA9-FBDAE029D412}">
  <dimension ref="B2:K54"/>
  <sheetViews>
    <sheetView topLeftCell="A37" zoomScaleNormal="100" workbookViewId="0">
      <selection activeCell="G38" sqref="G38"/>
    </sheetView>
  </sheetViews>
  <sheetFormatPr defaultRowHeight="14.5" x14ac:dyDescent="0.35"/>
  <cols>
    <col min="2" max="2" width="12.08984375" bestFit="1" customWidth="1"/>
    <col min="3" max="3" width="8.1796875" bestFit="1" customWidth="1"/>
    <col min="4" max="4" width="10.453125" bestFit="1" customWidth="1"/>
    <col min="5" max="5" width="11.1796875" bestFit="1" customWidth="1"/>
    <col min="8" max="8" width="13.54296875" customWidth="1"/>
    <col min="9" max="9" width="17.90625" customWidth="1"/>
  </cols>
  <sheetData>
    <row r="2" spans="2:9" x14ac:dyDescent="0.35">
      <c r="B2" t="s">
        <v>0</v>
      </c>
      <c r="C2" t="s">
        <v>63</v>
      </c>
      <c r="D2" t="s">
        <v>65</v>
      </c>
      <c r="E2" t="s">
        <v>66</v>
      </c>
    </row>
    <row r="3" spans="2:9" x14ac:dyDescent="0.35">
      <c r="B3" t="s">
        <v>30</v>
      </c>
      <c r="C3">
        <v>2022</v>
      </c>
      <c r="D3" t="s">
        <v>38</v>
      </c>
      <c r="E3">
        <v>2226.8000000000002</v>
      </c>
      <c r="H3" t="s">
        <v>67</v>
      </c>
      <c r="I3" t="s">
        <v>68</v>
      </c>
    </row>
    <row r="4" spans="2:9" x14ac:dyDescent="0.35">
      <c r="B4" t="s">
        <v>30</v>
      </c>
      <c r="C4">
        <v>2022</v>
      </c>
      <c r="D4" t="s">
        <v>39</v>
      </c>
      <c r="E4">
        <v>2248.3000000000002</v>
      </c>
      <c r="H4" t="str">
        <f>CONCATENATE(Table6[[#This Row],[Months]],Table6[[#This Row],[Years]])</f>
        <v>June2022</v>
      </c>
      <c r="I4" s="4">
        <f t="shared" ref="I4:I15" si="0">(E4-E3)/E3</f>
        <v>9.6551104724268005E-3</v>
      </c>
    </row>
    <row r="5" spans="2:9" x14ac:dyDescent="0.35">
      <c r="B5" t="s">
        <v>30</v>
      </c>
      <c r="C5">
        <v>2022</v>
      </c>
      <c r="D5" t="s">
        <v>40</v>
      </c>
      <c r="E5">
        <v>2252.5</v>
      </c>
      <c r="H5" t="str">
        <f>CONCATENATE(Table6[[#This Row],[Months]],Table6[[#This Row],[Years]])</f>
        <v>July2022</v>
      </c>
      <c r="I5" s="4">
        <f t="shared" si="0"/>
        <v>1.8680781034558635E-3</v>
      </c>
    </row>
    <row r="6" spans="2:9" x14ac:dyDescent="0.35">
      <c r="B6" t="s">
        <v>30</v>
      </c>
      <c r="C6">
        <v>2022</v>
      </c>
      <c r="D6" t="s">
        <v>41</v>
      </c>
      <c r="E6">
        <v>2255.7999999999997</v>
      </c>
      <c r="H6" t="str">
        <f>CONCATENATE(Table6[[#This Row],[Months]],Table6[[#This Row],[Years]])</f>
        <v>August2022</v>
      </c>
      <c r="I6" s="4">
        <f t="shared" si="0"/>
        <v>1.4650388457268489E-3</v>
      </c>
    </row>
    <row r="7" spans="2:9" x14ac:dyDescent="0.35">
      <c r="B7" t="s">
        <v>30</v>
      </c>
      <c r="C7">
        <v>2022</v>
      </c>
      <c r="D7" t="s">
        <v>42</v>
      </c>
      <c r="E7">
        <v>2267.8000000000002</v>
      </c>
      <c r="H7" t="str">
        <f>CONCATENATE(Table6[[#This Row],[Months]],Table6[[#This Row],[Years]])</f>
        <v>September2022</v>
      </c>
      <c r="I7" s="4">
        <f t="shared" si="0"/>
        <v>5.3196205337354627E-3</v>
      </c>
    </row>
    <row r="8" spans="2:9" x14ac:dyDescent="0.35">
      <c r="B8" t="s">
        <v>30</v>
      </c>
      <c r="C8">
        <v>2022</v>
      </c>
      <c r="D8" t="s">
        <v>43</v>
      </c>
      <c r="E8">
        <v>2284.5</v>
      </c>
      <c r="H8" t="str">
        <f>CONCATENATE(Table6[[#This Row],[Months]],Table6[[#This Row],[Years]])</f>
        <v>October2022</v>
      </c>
      <c r="I8" s="4">
        <f t="shared" si="0"/>
        <v>7.3639650762853063E-3</v>
      </c>
    </row>
    <row r="9" spans="2:9" x14ac:dyDescent="0.35">
      <c r="B9" t="s">
        <v>30</v>
      </c>
      <c r="C9">
        <v>2022</v>
      </c>
      <c r="D9" t="s">
        <v>45</v>
      </c>
      <c r="E9">
        <v>2287.6999999999998</v>
      </c>
      <c r="H9" t="str">
        <f>CONCATENATE(Table6[[#This Row],[Months]],Table6[[#This Row],[Years]])</f>
        <v>November2022</v>
      </c>
      <c r="I9" s="4">
        <f t="shared" si="0"/>
        <v>1.4007441453271255E-3</v>
      </c>
    </row>
    <row r="10" spans="2:9" x14ac:dyDescent="0.35">
      <c r="B10" t="s">
        <v>30</v>
      </c>
      <c r="C10">
        <v>2022</v>
      </c>
      <c r="D10" t="s">
        <v>46</v>
      </c>
      <c r="E10">
        <v>2277.1</v>
      </c>
      <c r="H10" t="str">
        <f>CONCATENATE(Table6[[#This Row],[Months]],Table6[[#This Row],[Years]])</f>
        <v>December2022</v>
      </c>
      <c r="I10" s="4">
        <f t="shared" si="0"/>
        <v>-4.6334746688813698E-3</v>
      </c>
    </row>
    <row r="11" spans="2:9" x14ac:dyDescent="0.35">
      <c r="B11" t="s">
        <v>30</v>
      </c>
      <c r="C11">
        <v>2023</v>
      </c>
      <c r="D11" t="s">
        <v>31</v>
      </c>
      <c r="E11">
        <v>2283.2000000000003</v>
      </c>
      <c r="H11" t="str">
        <f>CONCATENATE(Table6[[#This Row],[Months]],Table6[[#This Row],[Years]])</f>
        <v>January2023</v>
      </c>
      <c r="I11" s="4">
        <f t="shared" si="0"/>
        <v>2.678845900487622E-3</v>
      </c>
    </row>
    <row r="12" spans="2:9" x14ac:dyDescent="0.35">
      <c r="B12" t="s">
        <v>30</v>
      </c>
      <c r="C12">
        <v>2023</v>
      </c>
      <c r="D12" t="s">
        <v>35</v>
      </c>
      <c r="E12">
        <v>2265.6999999999998</v>
      </c>
      <c r="H12" t="str">
        <f>CONCATENATE(Table6[[#This Row],[Months]],Table6[[#This Row],[Years]])</f>
        <v>February2023</v>
      </c>
      <c r="I12" s="4">
        <f t="shared" si="0"/>
        <v>-7.6646811492643886E-3</v>
      </c>
    </row>
    <row r="13" spans="2:9" x14ac:dyDescent="0.35">
      <c r="B13" t="s">
        <v>30</v>
      </c>
      <c r="C13">
        <v>2023</v>
      </c>
      <c r="D13" t="s">
        <v>36</v>
      </c>
      <c r="E13">
        <v>2265.8000000000002</v>
      </c>
      <c r="H13" t="str">
        <f>CONCATENATE(Table6[[#This Row],[Months]],Table6[[#This Row],[Years]])</f>
        <v>March2023</v>
      </c>
      <c r="I13" s="4">
        <f t="shared" si="0"/>
        <v>4.4136469965292762E-5</v>
      </c>
    </row>
    <row r="14" spans="2:9" x14ac:dyDescent="0.35">
      <c r="B14" t="s">
        <v>30</v>
      </c>
      <c r="C14">
        <v>2023</v>
      </c>
      <c r="D14" t="s">
        <v>37</v>
      </c>
      <c r="E14">
        <v>2274.1999999999998</v>
      </c>
      <c r="H14" t="str">
        <f>CONCATENATE(Table6[[#This Row],[Months]],Table6[[#This Row],[Years]])</f>
        <v>April2023</v>
      </c>
      <c r="I14" s="4">
        <f t="shared" si="0"/>
        <v>3.7072998499424643E-3</v>
      </c>
    </row>
    <row r="15" spans="2:9" x14ac:dyDescent="0.35">
      <c r="B15" t="s">
        <v>30</v>
      </c>
      <c r="C15">
        <v>2023</v>
      </c>
      <c r="D15" t="s">
        <v>38</v>
      </c>
      <c r="E15">
        <v>2290.7000000000007</v>
      </c>
      <c r="H15" t="str">
        <f>CONCATENATE(Table6[[#This Row],[Months]],Table6[[#This Row],[Years]])</f>
        <v>May2023</v>
      </c>
      <c r="I15" s="4">
        <f t="shared" si="0"/>
        <v>7.2552985665292899E-3</v>
      </c>
    </row>
    <row r="22" spans="2:11" x14ac:dyDescent="0.35">
      <c r="B22" t="s">
        <v>0</v>
      </c>
      <c r="C22" t="s">
        <v>63</v>
      </c>
      <c r="D22" t="s">
        <v>65</v>
      </c>
      <c r="E22" t="s">
        <v>66</v>
      </c>
      <c r="K22" t="s">
        <v>69</v>
      </c>
    </row>
    <row r="23" spans="2:11" x14ac:dyDescent="0.35">
      <c r="B23" t="s">
        <v>33</v>
      </c>
      <c r="C23">
        <v>2022</v>
      </c>
      <c r="D23" t="s">
        <v>38</v>
      </c>
      <c r="E23">
        <v>2262.2000000000003</v>
      </c>
      <c r="H23" t="s">
        <v>67</v>
      </c>
      <c r="I23" t="s">
        <v>68</v>
      </c>
    </row>
    <row r="24" spans="2:11" x14ac:dyDescent="0.35">
      <c r="B24" t="s">
        <v>33</v>
      </c>
      <c r="C24">
        <v>2022</v>
      </c>
      <c r="D24" t="s">
        <v>39</v>
      </c>
      <c r="E24">
        <v>2287.5</v>
      </c>
      <c r="H24" t="s">
        <v>70</v>
      </c>
      <c r="I24" s="4">
        <f>(Table69[[#This Row],[Food CPI]]-E23)/E23</f>
        <v>1.1183803377243269E-2</v>
      </c>
    </row>
    <row r="25" spans="2:11" x14ac:dyDescent="0.35">
      <c r="B25" t="s">
        <v>33</v>
      </c>
      <c r="C25">
        <v>2022</v>
      </c>
      <c r="D25" t="s">
        <v>40</v>
      </c>
      <c r="E25">
        <v>2291.6</v>
      </c>
      <c r="H25" t="s">
        <v>71</v>
      </c>
      <c r="I25" s="4">
        <f>(Table69[[#This Row],[Food CPI]]-E24)/E24</f>
        <v>1.7923497267759165E-3</v>
      </c>
    </row>
    <row r="26" spans="2:11" x14ac:dyDescent="0.35">
      <c r="B26" t="s">
        <v>33</v>
      </c>
      <c r="C26">
        <v>2022</v>
      </c>
      <c r="D26" t="s">
        <v>41</v>
      </c>
      <c r="E26">
        <v>2293.6999999999998</v>
      </c>
      <c r="H26" t="s">
        <v>72</v>
      </c>
      <c r="I26" s="4">
        <f>(Table69[[#This Row],[Food CPI]]-E25)/E25</f>
        <v>9.1639029499036005E-4</v>
      </c>
    </row>
    <row r="27" spans="2:11" x14ac:dyDescent="0.35">
      <c r="B27" t="s">
        <v>33</v>
      </c>
      <c r="C27">
        <v>2022</v>
      </c>
      <c r="D27" t="s">
        <v>42</v>
      </c>
      <c r="E27">
        <v>2306.4</v>
      </c>
      <c r="H27" t="s">
        <v>73</v>
      </c>
      <c r="I27" s="4">
        <f>(Table69[[#This Row],[Food CPI]]-E26)/E26</f>
        <v>5.5369054366308902E-3</v>
      </c>
    </row>
    <row r="28" spans="2:11" x14ac:dyDescent="0.35">
      <c r="B28" t="s">
        <v>33</v>
      </c>
      <c r="C28">
        <v>2022</v>
      </c>
      <c r="D28" t="s">
        <v>43</v>
      </c>
      <c r="E28">
        <v>2322.3000000000002</v>
      </c>
      <c r="H28" t="s">
        <v>74</v>
      </c>
      <c r="I28" s="4">
        <f>(Table69[[#This Row],[Food CPI]]-E27)/E27</f>
        <v>6.8938605619147117E-3</v>
      </c>
    </row>
    <row r="29" spans="2:11" x14ac:dyDescent="0.35">
      <c r="B29" t="s">
        <v>33</v>
      </c>
      <c r="C29">
        <v>2022</v>
      </c>
      <c r="D29" t="s">
        <v>45</v>
      </c>
      <c r="E29">
        <v>2314.4</v>
      </c>
      <c r="H29" t="s">
        <v>75</v>
      </c>
      <c r="I29" s="4">
        <f>(Table69[[#This Row],[Food CPI]]-E28)/E28</f>
        <v>-3.4017999397149765E-3</v>
      </c>
    </row>
    <row r="30" spans="2:11" x14ac:dyDescent="0.35">
      <c r="B30" t="s">
        <v>33</v>
      </c>
      <c r="C30">
        <v>2022</v>
      </c>
      <c r="D30" t="s">
        <v>46</v>
      </c>
      <c r="E30">
        <v>2295.7999999999997</v>
      </c>
      <c r="H30" t="s">
        <v>76</v>
      </c>
      <c r="I30" s="4">
        <f>(Table69[[#This Row],[Food CPI]]-E29)/E29</f>
        <v>-8.0366401659178899E-3</v>
      </c>
    </row>
    <row r="31" spans="2:11" x14ac:dyDescent="0.35">
      <c r="B31" t="s">
        <v>33</v>
      </c>
      <c r="C31">
        <v>2023</v>
      </c>
      <c r="D31" t="s">
        <v>31</v>
      </c>
      <c r="E31">
        <v>2310.2000000000003</v>
      </c>
      <c r="H31" t="s">
        <v>77</v>
      </c>
      <c r="I31" s="4">
        <f>(Table69[[#This Row],[Food CPI]]-E30)/E30</f>
        <v>6.2723233731163631E-3</v>
      </c>
    </row>
    <row r="32" spans="2:11" x14ac:dyDescent="0.35">
      <c r="B32" t="s">
        <v>33</v>
      </c>
      <c r="C32">
        <v>2023</v>
      </c>
      <c r="D32" t="s">
        <v>35</v>
      </c>
      <c r="E32">
        <v>2303.1999999999998</v>
      </c>
      <c r="H32" t="s">
        <v>78</v>
      </c>
      <c r="I32" s="4">
        <f>(Table69[[#This Row],[Food CPI]]-E31)/E31</f>
        <v>-3.0300406891180217E-3</v>
      </c>
    </row>
    <row r="33" spans="2:9" x14ac:dyDescent="0.35">
      <c r="B33" t="s">
        <v>33</v>
      </c>
      <c r="C33">
        <v>2023</v>
      </c>
      <c r="D33" t="s">
        <v>36</v>
      </c>
      <c r="E33">
        <v>2303.4</v>
      </c>
      <c r="H33" t="s">
        <v>79</v>
      </c>
      <c r="I33" s="4">
        <f>(Table69[[#This Row],[Food CPI]]-E32)/E32</f>
        <v>8.6835706842772171E-5</v>
      </c>
    </row>
    <row r="34" spans="2:9" x14ac:dyDescent="0.35">
      <c r="B34" t="s">
        <v>33</v>
      </c>
      <c r="C34">
        <v>2023</v>
      </c>
      <c r="D34" t="s">
        <v>37</v>
      </c>
      <c r="E34">
        <v>2317.7000000000003</v>
      </c>
      <c r="H34" t="s">
        <v>80</v>
      </c>
      <c r="I34" s="4">
        <f>(Table69[[#This Row],[Food CPI]]-E33)/E33</f>
        <v>6.2082139446037084E-3</v>
      </c>
    </row>
    <row r="35" spans="2:9" x14ac:dyDescent="0.35">
      <c r="B35" t="s">
        <v>33</v>
      </c>
      <c r="C35">
        <v>2023</v>
      </c>
      <c r="D35" t="s">
        <v>38</v>
      </c>
      <c r="E35">
        <v>2335.1</v>
      </c>
      <c r="H35" t="s">
        <v>81</v>
      </c>
      <c r="I35" s="4">
        <f>(Table69[[#This Row],[Food CPI]]-E34)/E34</f>
        <v>7.5074427233894096E-3</v>
      </c>
    </row>
    <row r="41" spans="2:9" x14ac:dyDescent="0.35">
      <c r="B41" t="s">
        <v>0</v>
      </c>
      <c r="C41" t="s">
        <v>63</v>
      </c>
      <c r="D41" t="s">
        <v>65</v>
      </c>
      <c r="E41" t="s">
        <v>66</v>
      </c>
    </row>
    <row r="42" spans="2:9" x14ac:dyDescent="0.35">
      <c r="B42" t="s">
        <v>82</v>
      </c>
      <c r="C42">
        <v>2022</v>
      </c>
      <c r="D42" t="s">
        <v>38</v>
      </c>
      <c r="E42">
        <v>2238.9000000000005</v>
      </c>
      <c r="H42" t="s">
        <v>67</v>
      </c>
      <c r="I42" t="s">
        <v>68</v>
      </c>
    </row>
    <row r="43" spans="2:9" x14ac:dyDescent="0.35">
      <c r="B43" t="s">
        <v>82</v>
      </c>
      <c r="C43">
        <v>2022</v>
      </c>
      <c r="D43" t="s">
        <v>39</v>
      </c>
      <c r="E43">
        <v>2261.9</v>
      </c>
      <c r="H43" t="s">
        <v>70</v>
      </c>
      <c r="I43" s="4">
        <f>(Table6912[[#This Row],[Food CPI]]-E42)/E42</f>
        <v>1.0272901871454526E-2</v>
      </c>
    </row>
    <row r="44" spans="2:9" x14ac:dyDescent="0.35">
      <c r="B44" t="s">
        <v>82</v>
      </c>
      <c r="C44">
        <v>2022</v>
      </c>
      <c r="D44" t="s">
        <v>40</v>
      </c>
      <c r="E44">
        <v>2266.3000000000002</v>
      </c>
      <c r="H44" t="s">
        <v>71</v>
      </c>
      <c r="I44" s="4">
        <f>(Table6912[[#This Row],[Food CPI]]-E43)/E43</f>
        <v>1.9452672531942573E-3</v>
      </c>
    </row>
    <row r="45" spans="2:9" x14ac:dyDescent="0.35">
      <c r="B45" t="s">
        <v>82</v>
      </c>
      <c r="C45">
        <v>2022</v>
      </c>
      <c r="D45" t="s">
        <v>41</v>
      </c>
      <c r="E45">
        <v>2269.2000000000003</v>
      </c>
      <c r="H45" t="s">
        <v>72</v>
      </c>
      <c r="I45" s="4">
        <f>(Table6912[[#This Row],[Food CPI]]-E44)/E44</f>
        <v>1.279618761858576E-3</v>
      </c>
    </row>
    <row r="46" spans="2:9" x14ac:dyDescent="0.35">
      <c r="B46" t="s">
        <v>82</v>
      </c>
      <c r="C46">
        <v>2022</v>
      </c>
      <c r="D46" t="s">
        <v>42</v>
      </c>
      <c r="E46">
        <v>2280.9</v>
      </c>
      <c r="H46" t="s">
        <v>73</v>
      </c>
      <c r="I46" s="4">
        <f>(Table6912[[#This Row],[Food CPI]]-E45)/E45</f>
        <v>5.1560021152828386E-3</v>
      </c>
    </row>
    <row r="47" spans="2:9" x14ac:dyDescent="0.35">
      <c r="B47" t="s">
        <v>82</v>
      </c>
      <c r="C47">
        <v>2022</v>
      </c>
      <c r="D47" t="s">
        <v>43</v>
      </c>
      <c r="E47">
        <v>2297.3000000000002</v>
      </c>
      <c r="H47" t="s">
        <v>74</v>
      </c>
      <c r="I47" s="4">
        <f>(Table6912[[#This Row],[Food CPI]]-E46)/E46</f>
        <v>7.1901442413082953E-3</v>
      </c>
    </row>
    <row r="48" spans="2:9" x14ac:dyDescent="0.35">
      <c r="B48" t="s">
        <v>82</v>
      </c>
      <c r="C48">
        <v>2022</v>
      </c>
      <c r="D48" t="s">
        <v>45</v>
      </c>
      <c r="E48">
        <v>2296.8000000000002</v>
      </c>
      <c r="H48" t="s">
        <v>75</v>
      </c>
      <c r="I48" s="4">
        <f>(Table6912[[#This Row],[Food CPI]]-E47)/E47</f>
        <v>-2.1764680276846731E-4</v>
      </c>
    </row>
    <row r="49" spans="2:9" x14ac:dyDescent="0.35">
      <c r="B49" t="s">
        <v>82</v>
      </c>
      <c r="C49">
        <v>2022</v>
      </c>
      <c r="D49" t="s">
        <v>46</v>
      </c>
      <c r="E49">
        <v>2283.4</v>
      </c>
      <c r="H49" t="s">
        <v>76</v>
      </c>
      <c r="I49" s="4">
        <f>(Table6912[[#This Row],[Food CPI]]-E48)/E48</f>
        <v>-5.8342041100662182E-3</v>
      </c>
    </row>
    <row r="50" spans="2:9" x14ac:dyDescent="0.35">
      <c r="B50" t="s">
        <v>82</v>
      </c>
      <c r="C50">
        <v>2023</v>
      </c>
      <c r="D50" t="s">
        <v>31</v>
      </c>
      <c r="E50">
        <v>2292.6999999999998</v>
      </c>
      <c r="H50" t="s">
        <v>77</v>
      </c>
      <c r="I50" s="4">
        <f>(Table6912[[#This Row],[Food CPI]]-E49)/E49</f>
        <v>4.0728737847068961E-3</v>
      </c>
    </row>
    <row r="51" spans="2:9" x14ac:dyDescent="0.35">
      <c r="B51" t="s">
        <v>82</v>
      </c>
      <c r="C51">
        <v>2023</v>
      </c>
      <c r="D51" t="s">
        <v>35</v>
      </c>
      <c r="E51">
        <v>2279.1</v>
      </c>
      <c r="H51" t="s">
        <v>78</v>
      </c>
      <c r="I51" s="4">
        <f>(Table6912[[#This Row],[Food CPI]]-E50)/E50</f>
        <v>-5.9318707201116193E-3</v>
      </c>
    </row>
    <row r="52" spans="2:9" x14ac:dyDescent="0.35">
      <c r="B52" t="s">
        <v>82</v>
      </c>
      <c r="C52">
        <v>2023</v>
      </c>
      <c r="D52" t="s">
        <v>36</v>
      </c>
      <c r="E52">
        <v>2279.1999999999998</v>
      </c>
      <c r="H52" t="s">
        <v>79</v>
      </c>
      <c r="I52" s="4">
        <f>(Table6912[[#This Row],[Food CPI]]-E51)/E51</f>
        <v>4.3876968978943027E-5</v>
      </c>
    </row>
    <row r="53" spans="2:9" x14ac:dyDescent="0.35">
      <c r="B53" t="s">
        <v>82</v>
      </c>
      <c r="C53">
        <v>2023</v>
      </c>
      <c r="D53" t="s">
        <v>37</v>
      </c>
      <c r="E53">
        <v>2289.6000000000004</v>
      </c>
      <c r="H53" t="s">
        <v>80</v>
      </c>
      <c r="I53" s="4">
        <f>(Table6912[[#This Row],[Food CPI]]-E52)/E52</f>
        <v>4.5630045630048032E-3</v>
      </c>
    </row>
    <row r="54" spans="2:9" x14ac:dyDescent="0.35">
      <c r="B54" t="s">
        <v>82</v>
      </c>
      <c r="C54">
        <v>2023</v>
      </c>
      <c r="D54" t="s">
        <v>38</v>
      </c>
      <c r="E54">
        <v>2306.9</v>
      </c>
      <c r="H54" t="s">
        <v>81</v>
      </c>
      <c r="I54" s="4">
        <f>(Table6912[[#This Row],[Food CPI]]-E53)/E53</f>
        <v>7.5559049615652185E-3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7958-77EF-4459-8C84-988865113700}">
  <dimension ref="B2:Q92"/>
  <sheetViews>
    <sheetView zoomScale="115" zoomScaleNormal="115" workbookViewId="0">
      <selection activeCell="AF64" sqref="AF64"/>
    </sheetView>
  </sheetViews>
  <sheetFormatPr defaultRowHeight="14.5" x14ac:dyDescent="0.35"/>
  <sheetData>
    <row r="2" spans="2:17" x14ac:dyDescent="0.35">
      <c r="B2" s="18" t="s">
        <v>0</v>
      </c>
      <c r="C2" s="18" t="s">
        <v>1</v>
      </c>
      <c r="D2" s="18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19" t="s">
        <v>15</v>
      </c>
    </row>
    <row r="3" spans="2:17" x14ac:dyDescent="0.35">
      <c r="B3" s="9" t="s">
        <v>34</v>
      </c>
      <c r="C3" s="9">
        <v>2022</v>
      </c>
      <c r="D3" s="9" t="s">
        <v>38</v>
      </c>
      <c r="E3" s="9">
        <v>154.1</v>
      </c>
      <c r="F3" s="9">
        <v>217</v>
      </c>
      <c r="G3" s="9">
        <v>162.4</v>
      </c>
      <c r="H3" s="9">
        <v>164.9</v>
      </c>
      <c r="I3" s="9">
        <v>202.4</v>
      </c>
      <c r="J3" s="9">
        <v>171</v>
      </c>
      <c r="K3" s="9">
        <v>174.9</v>
      </c>
      <c r="L3" s="9">
        <v>164.7</v>
      </c>
      <c r="M3" s="9">
        <v>119.7</v>
      </c>
      <c r="N3" s="9">
        <v>184.9</v>
      </c>
      <c r="O3" s="9">
        <v>167.1</v>
      </c>
      <c r="P3" s="9">
        <v>182.5</v>
      </c>
      <c r="Q3" s="9">
        <v>173.3</v>
      </c>
    </row>
    <row r="4" spans="2:17" x14ac:dyDescent="0.35">
      <c r="B4" s="9" t="s">
        <v>34</v>
      </c>
      <c r="C4" s="9">
        <v>2022</v>
      </c>
      <c r="D4" s="9" t="s">
        <v>39</v>
      </c>
      <c r="E4" s="9">
        <v>155</v>
      </c>
      <c r="F4" s="9">
        <v>219.4</v>
      </c>
      <c r="G4" s="9">
        <v>170.8</v>
      </c>
      <c r="H4" s="9">
        <v>165.8</v>
      </c>
      <c r="I4" s="9">
        <v>200.9</v>
      </c>
      <c r="J4" s="9">
        <v>169.7</v>
      </c>
      <c r="K4" s="9">
        <v>182.3</v>
      </c>
      <c r="L4" s="9">
        <v>164.3</v>
      </c>
      <c r="M4" s="9">
        <v>119.9</v>
      </c>
      <c r="N4" s="9">
        <v>187.1</v>
      </c>
      <c r="O4" s="9">
        <v>167.9</v>
      </c>
      <c r="P4" s="9">
        <v>183.9</v>
      </c>
      <c r="Q4" s="9">
        <v>174.9</v>
      </c>
    </row>
    <row r="5" spans="2:17" x14ac:dyDescent="0.35">
      <c r="B5" s="9" t="s">
        <v>34</v>
      </c>
      <c r="C5" s="9">
        <v>2022</v>
      </c>
      <c r="D5" s="9" t="s">
        <v>40</v>
      </c>
      <c r="E5" s="9">
        <v>156.5</v>
      </c>
      <c r="F5" s="9">
        <v>213</v>
      </c>
      <c r="G5" s="9">
        <v>175.2</v>
      </c>
      <c r="H5" s="9">
        <v>166.6</v>
      </c>
      <c r="I5" s="9">
        <v>195.8</v>
      </c>
      <c r="J5" s="9">
        <v>174.2</v>
      </c>
      <c r="K5" s="9">
        <v>182.1</v>
      </c>
      <c r="L5" s="9">
        <v>164.3</v>
      </c>
      <c r="M5" s="9">
        <v>120</v>
      </c>
      <c r="N5" s="9">
        <v>190</v>
      </c>
      <c r="O5" s="9">
        <v>168.4</v>
      </c>
      <c r="P5" s="9">
        <v>185.2</v>
      </c>
      <c r="Q5" s="9">
        <v>175</v>
      </c>
    </row>
    <row r="6" spans="2:17" x14ac:dyDescent="0.35">
      <c r="B6" s="9" t="s">
        <v>34</v>
      </c>
      <c r="C6" s="9">
        <v>2022</v>
      </c>
      <c r="D6" s="9" t="s">
        <v>41</v>
      </c>
      <c r="E6" s="9">
        <v>160.30000000000001</v>
      </c>
      <c r="F6" s="9">
        <v>206.5</v>
      </c>
      <c r="G6" s="9">
        <v>169.2</v>
      </c>
      <c r="H6" s="9">
        <v>168.1</v>
      </c>
      <c r="I6" s="9">
        <v>192.4</v>
      </c>
      <c r="J6" s="9">
        <v>172.9</v>
      </c>
      <c r="K6" s="9">
        <v>186.7</v>
      </c>
      <c r="L6" s="9">
        <v>167.2</v>
      </c>
      <c r="M6" s="9">
        <v>120.9</v>
      </c>
      <c r="N6" s="9">
        <v>193.6</v>
      </c>
      <c r="O6" s="9">
        <v>168.8</v>
      </c>
      <c r="P6" s="9">
        <v>186.3</v>
      </c>
      <c r="Q6" s="9">
        <v>176.3</v>
      </c>
    </row>
    <row r="7" spans="2:17" x14ac:dyDescent="0.35">
      <c r="B7" s="9" t="s">
        <v>34</v>
      </c>
      <c r="C7" s="9">
        <v>2022</v>
      </c>
      <c r="D7" s="9" t="s">
        <v>42</v>
      </c>
      <c r="E7" s="9">
        <v>163.5</v>
      </c>
      <c r="F7" s="9">
        <v>209.2</v>
      </c>
      <c r="G7" s="9">
        <v>169.7</v>
      </c>
      <c r="H7" s="9">
        <v>169.7</v>
      </c>
      <c r="I7" s="9">
        <v>188.7</v>
      </c>
      <c r="J7" s="9">
        <v>165.7</v>
      </c>
      <c r="K7" s="9">
        <v>191.8</v>
      </c>
      <c r="L7" s="9">
        <v>169.1</v>
      </c>
      <c r="M7" s="9">
        <v>121.6</v>
      </c>
      <c r="N7" s="9">
        <v>197.3</v>
      </c>
      <c r="O7" s="9">
        <v>169.4</v>
      </c>
      <c r="P7" s="9">
        <v>187.4</v>
      </c>
      <c r="Q7" s="9">
        <v>177.8</v>
      </c>
    </row>
    <row r="8" spans="2:17" x14ac:dyDescent="0.35">
      <c r="B8" s="9" t="s">
        <v>34</v>
      </c>
      <c r="C8" s="9">
        <v>2022</v>
      </c>
      <c r="D8" s="9" t="s">
        <v>43</v>
      </c>
      <c r="E8" s="9">
        <v>165.2</v>
      </c>
      <c r="F8" s="9">
        <v>210.9</v>
      </c>
      <c r="G8" s="9">
        <v>170.9</v>
      </c>
      <c r="H8" s="9">
        <v>170.9</v>
      </c>
      <c r="I8" s="9">
        <v>186.5</v>
      </c>
      <c r="J8" s="9">
        <v>163.80000000000001</v>
      </c>
      <c r="K8" s="9">
        <v>199.7</v>
      </c>
      <c r="L8" s="9">
        <v>169.8</v>
      </c>
      <c r="M8" s="9">
        <v>121.9</v>
      </c>
      <c r="N8" s="9">
        <v>199.9</v>
      </c>
      <c r="O8" s="9">
        <v>169.9</v>
      </c>
      <c r="P8" s="9">
        <v>188.3</v>
      </c>
      <c r="Q8" s="9">
        <v>179.6</v>
      </c>
    </row>
    <row r="9" spans="2:17" x14ac:dyDescent="0.35">
      <c r="B9" s="9" t="s">
        <v>34</v>
      </c>
      <c r="C9" s="9">
        <v>2022</v>
      </c>
      <c r="D9" s="9" t="s">
        <v>45</v>
      </c>
      <c r="E9" s="9">
        <v>167.4</v>
      </c>
      <c r="F9" s="9">
        <v>209.4</v>
      </c>
      <c r="G9" s="9">
        <v>181.4</v>
      </c>
      <c r="H9" s="9">
        <v>172.3</v>
      </c>
      <c r="I9" s="9">
        <v>188.9</v>
      </c>
      <c r="J9" s="9">
        <v>160.69999999999999</v>
      </c>
      <c r="K9" s="9">
        <v>183.1</v>
      </c>
      <c r="L9" s="9">
        <v>170.5</v>
      </c>
      <c r="M9" s="9">
        <v>122.1</v>
      </c>
      <c r="N9" s="9">
        <v>202.8</v>
      </c>
      <c r="O9" s="9">
        <v>170.4</v>
      </c>
      <c r="P9" s="9">
        <v>189.5</v>
      </c>
      <c r="Q9" s="9">
        <v>178.3</v>
      </c>
    </row>
    <row r="10" spans="2:17" x14ac:dyDescent="0.35">
      <c r="B10" s="9" t="s">
        <v>34</v>
      </c>
      <c r="C10" s="9">
        <v>2022</v>
      </c>
      <c r="D10" s="9" t="s">
        <v>46</v>
      </c>
      <c r="E10" s="9">
        <v>169.2</v>
      </c>
      <c r="F10" s="9">
        <v>209</v>
      </c>
      <c r="G10" s="9">
        <v>190.2</v>
      </c>
      <c r="H10" s="9">
        <v>173.6</v>
      </c>
      <c r="I10" s="9">
        <v>188.5</v>
      </c>
      <c r="J10" s="9">
        <v>158</v>
      </c>
      <c r="K10" s="9">
        <v>159.9</v>
      </c>
      <c r="L10" s="9">
        <v>170.8</v>
      </c>
      <c r="M10" s="9">
        <v>121.8</v>
      </c>
      <c r="N10" s="9">
        <v>205.2</v>
      </c>
      <c r="O10" s="9">
        <v>171</v>
      </c>
      <c r="P10" s="9">
        <v>190.3</v>
      </c>
      <c r="Q10" s="9">
        <v>175.9</v>
      </c>
    </row>
    <row r="11" spans="2:17" x14ac:dyDescent="0.35">
      <c r="B11" s="9" t="s">
        <v>34</v>
      </c>
      <c r="C11" s="9">
        <v>2023</v>
      </c>
      <c r="D11" s="9" t="s">
        <v>31</v>
      </c>
      <c r="E11" s="9">
        <v>173.8</v>
      </c>
      <c r="F11" s="9">
        <v>210.7</v>
      </c>
      <c r="G11" s="9">
        <v>194.5</v>
      </c>
      <c r="H11" s="9">
        <v>174.6</v>
      </c>
      <c r="I11" s="9">
        <v>187.2</v>
      </c>
      <c r="J11" s="9">
        <v>158.30000000000001</v>
      </c>
      <c r="K11" s="9">
        <v>153.9</v>
      </c>
      <c r="L11" s="9">
        <v>170.9</v>
      </c>
      <c r="M11" s="9">
        <v>121.1</v>
      </c>
      <c r="N11" s="9">
        <v>208.4</v>
      </c>
      <c r="O11" s="9">
        <v>171.4</v>
      </c>
      <c r="P11" s="9">
        <v>191.2</v>
      </c>
      <c r="Q11" s="9">
        <v>176.7</v>
      </c>
    </row>
    <row r="12" spans="2:17" x14ac:dyDescent="0.35">
      <c r="B12" s="9" t="s">
        <v>34</v>
      </c>
      <c r="C12" s="9">
        <v>2023</v>
      </c>
      <c r="D12" s="9" t="s">
        <v>35</v>
      </c>
      <c r="E12" s="9">
        <v>174.4</v>
      </c>
      <c r="F12" s="9">
        <v>207.7</v>
      </c>
      <c r="G12" s="9">
        <v>175.2</v>
      </c>
      <c r="H12" s="9">
        <v>177.3</v>
      </c>
      <c r="I12" s="9">
        <v>179.3</v>
      </c>
      <c r="J12" s="9">
        <v>169.5</v>
      </c>
      <c r="K12" s="9">
        <v>152.69999999999999</v>
      </c>
      <c r="L12" s="9">
        <v>171</v>
      </c>
      <c r="M12" s="9">
        <v>120</v>
      </c>
      <c r="N12" s="9">
        <v>209.7</v>
      </c>
      <c r="O12" s="9">
        <v>172.3</v>
      </c>
      <c r="P12" s="9">
        <v>193</v>
      </c>
      <c r="Q12" s="9">
        <v>177</v>
      </c>
    </row>
    <row r="13" spans="2:17" x14ac:dyDescent="0.35">
      <c r="B13" s="9" t="s">
        <v>34</v>
      </c>
      <c r="C13" s="9">
        <v>2023</v>
      </c>
      <c r="D13" s="9" t="s">
        <v>36</v>
      </c>
      <c r="E13" s="9">
        <v>174.4</v>
      </c>
      <c r="F13" s="9">
        <v>207.7</v>
      </c>
      <c r="G13" s="9">
        <v>175.2</v>
      </c>
      <c r="H13" s="9">
        <v>177.3</v>
      </c>
      <c r="I13" s="9">
        <v>179.2</v>
      </c>
      <c r="J13" s="9">
        <v>169.5</v>
      </c>
      <c r="K13" s="9">
        <v>152.80000000000001</v>
      </c>
      <c r="L13" s="9">
        <v>171.1</v>
      </c>
      <c r="M13" s="9">
        <v>120</v>
      </c>
      <c r="N13" s="9">
        <v>209.7</v>
      </c>
      <c r="O13" s="9">
        <v>172.3</v>
      </c>
      <c r="P13" s="9">
        <v>193</v>
      </c>
      <c r="Q13" s="9">
        <v>177</v>
      </c>
    </row>
    <row r="14" spans="2:17" x14ac:dyDescent="0.35">
      <c r="B14" s="9" t="s">
        <v>34</v>
      </c>
      <c r="C14" s="9">
        <v>2023</v>
      </c>
      <c r="D14" s="9" t="s">
        <v>37</v>
      </c>
      <c r="E14" s="9">
        <v>173.8</v>
      </c>
      <c r="F14" s="9">
        <v>209.3</v>
      </c>
      <c r="G14" s="9">
        <v>169.6</v>
      </c>
      <c r="H14" s="9">
        <v>178.4</v>
      </c>
      <c r="I14" s="9">
        <v>174.9</v>
      </c>
      <c r="J14" s="9">
        <v>176.3</v>
      </c>
      <c r="K14" s="9">
        <v>155.4</v>
      </c>
      <c r="L14" s="9">
        <v>173.4</v>
      </c>
      <c r="M14" s="9">
        <v>121.3</v>
      </c>
      <c r="N14" s="9">
        <v>212.9</v>
      </c>
      <c r="O14" s="9">
        <v>172.9</v>
      </c>
      <c r="P14" s="9">
        <v>193.5</v>
      </c>
      <c r="Q14" s="9">
        <v>177.9</v>
      </c>
    </row>
    <row r="15" spans="2:17" x14ac:dyDescent="0.35">
      <c r="B15" s="9" t="s">
        <v>34</v>
      </c>
      <c r="C15" s="9">
        <v>2023</v>
      </c>
      <c r="D15" s="9" t="s">
        <v>38</v>
      </c>
      <c r="E15" s="9">
        <v>173.7</v>
      </c>
      <c r="F15" s="9">
        <v>214.3</v>
      </c>
      <c r="G15" s="9">
        <v>173.2</v>
      </c>
      <c r="H15" s="9">
        <v>179.5</v>
      </c>
      <c r="I15" s="9">
        <v>170</v>
      </c>
      <c r="J15" s="9">
        <v>172.2</v>
      </c>
      <c r="K15" s="9">
        <v>161</v>
      </c>
      <c r="L15" s="9">
        <v>175.6</v>
      </c>
      <c r="M15" s="9">
        <v>122.7</v>
      </c>
      <c r="N15" s="9">
        <v>218</v>
      </c>
      <c r="O15" s="9">
        <v>173.4</v>
      </c>
      <c r="P15" s="9">
        <v>194.2</v>
      </c>
      <c r="Q15" s="9">
        <v>179.1</v>
      </c>
    </row>
    <row r="17" spans="2:17" x14ac:dyDescent="0.35">
      <c r="B17" s="18" t="s">
        <v>0</v>
      </c>
      <c r="C17" s="18" t="s">
        <v>1</v>
      </c>
      <c r="D17" s="18" t="s">
        <v>2</v>
      </c>
      <c r="E17" s="19" t="s">
        <v>3</v>
      </c>
      <c r="F17" s="19" t="s">
        <v>4</v>
      </c>
      <c r="G17" s="19" t="s">
        <v>5</v>
      </c>
      <c r="H17" s="19" t="s">
        <v>6</v>
      </c>
      <c r="I17" s="19" t="s">
        <v>7</v>
      </c>
      <c r="J17" s="19" t="s">
        <v>8</v>
      </c>
      <c r="K17" s="19" t="s">
        <v>9</v>
      </c>
      <c r="L17" s="19" t="s">
        <v>10</v>
      </c>
      <c r="M17" s="19" t="s">
        <v>11</v>
      </c>
      <c r="N17" s="19" t="s">
        <v>12</v>
      </c>
      <c r="O17" s="19" t="s">
        <v>13</v>
      </c>
      <c r="P17" s="19" t="s">
        <v>14</v>
      </c>
      <c r="Q17" s="19" t="s">
        <v>15</v>
      </c>
    </row>
    <row r="18" spans="2:17" x14ac:dyDescent="0.35">
      <c r="B18" s="9" t="s">
        <v>34</v>
      </c>
      <c r="C18" s="9">
        <v>2022</v>
      </c>
      <c r="D18" s="9" t="s">
        <v>39</v>
      </c>
      <c r="E18" s="20">
        <f>(E4-E3)/E3</f>
        <v>5.8403634003893947E-3</v>
      </c>
      <c r="F18" s="20">
        <f t="shared" ref="F18:Q18" si="0">(F4-F3)/F3</f>
        <v>1.1059907834101408E-2</v>
      </c>
      <c r="G18" s="20">
        <f t="shared" si="0"/>
        <v>5.1724137931034517E-2</v>
      </c>
      <c r="H18" s="20">
        <f t="shared" si="0"/>
        <v>5.4578532443905741E-3</v>
      </c>
      <c r="I18" s="20">
        <f t="shared" si="0"/>
        <v>-7.411067193675889E-3</v>
      </c>
      <c r="J18" s="20">
        <f t="shared" si="0"/>
        <v>-7.6023391812866164E-3</v>
      </c>
      <c r="K18" s="20">
        <f t="shared" si="0"/>
        <v>4.230989136649517E-2</v>
      </c>
      <c r="L18" s="20">
        <f t="shared" si="0"/>
        <v>-2.4286581663629466E-3</v>
      </c>
      <c r="M18" s="20">
        <f t="shared" si="0"/>
        <v>1.6708437761069578E-3</v>
      </c>
      <c r="N18" s="20">
        <f t="shared" si="0"/>
        <v>1.1898323418063756E-2</v>
      </c>
      <c r="O18" s="20">
        <f t="shared" si="0"/>
        <v>4.7875523638540481E-3</v>
      </c>
      <c r="P18" s="20">
        <f t="shared" si="0"/>
        <v>7.6712328767123599E-3</v>
      </c>
      <c r="Q18" s="20">
        <f t="shared" si="0"/>
        <v>9.2325447201384546E-3</v>
      </c>
    </row>
    <row r="19" spans="2:17" x14ac:dyDescent="0.35">
      <c r="B19" s="9" t="s">
        <v>34</v>
      </c>
      <c r="C19" s="9">
        <v>2022</v>
      </c>
      <c r="D19" s="9" t="s">
        <v>40</v>
      </c>
      <c r="E19" s="20">
        <f t="shared" ref="E19:Q29" si="1">(E5-E4)/E4</f>
        <v>9.6774193548387101E-3</v>
      </c>
      <c r="F19" s="20">
        <f t="shared" si="1"/>
        <v>-2.9170464904284436E-2</v>
      </c>
      <c r="G19" s="20">
        <f t="shared" si="1"/>
        <v>2.5761124121779725E-2</v>
      </c>
      <c r="H19" s="20">
        <f t="shared" si="1"/>
        <v>4.8250904704462173E-3</v>
      </c>
      <c r="I19" s="20">
        <f t="shared" si="1"/>
        <v>-2.5385764061722219E-2</v>
      </c>
      <c r="J19" s="20">
        <f t="shared" si="1"/>
        <v>2.6517383618149679E-2</v>
      </c>
      <c r="K19" s="20">
        <f t="shared" si="1"/>
        <v>-1.0970927043336097E-3</v>
      </c>
      <c r="L19" s="20">
        <f t="shared" si="1"/>
        <v>0</v>
      </c>
      <c r="M19" s="20">
        <f t="shared" si="1"/>
        <v>8.3402835696408937E-4</v>
      </c>
      <c r="N19" s="20">
        <f t="shared" si="1"/>
        <v>1.5499732763228252E-2</v>
      </c>
      <c r="O19" s="20">
        <f t="shared" si="1"/>
        <v>2.9779630732578916E-3</v>
      </c>
      <c r="P19" s="20">
        <f t="shared" si="1"/>
        <v>7.0690592713430287E-3</v>
      </c>
      <c r="Q19" s="20">
        <f t="shared" si="1"/>
        <v>5.7175528873638828E-4</v>
      </c>
    </row>
    <row r="20" spans="2:17" x14ac:dyDescent="0.35">
      <c r="B20" s="9" t="s">
        <v>34</v>
      </c>
      <c r="C20" s="9">
        <v>2022</v>
      </c>
      <c r="D20" s="9" t="s">
        <v>41</v>
      </c>
      <c r="E20" s="20">
        <f t="shared" si="1"/>
        <v>2.4281150159744483E-2</v>
      </c>
      <c r="F20" s="20">
        <f t="shared" si="1"/>
        <v>-3.0516431924882629E-2</v>
      </c>
      <c r="G20" s="20">
        <f t="shared" si="1"/>
        <v>-3.4246575342465758E-2</v>
      </c>
      <c r="H20" s="20">
        <f t="shared" si="1"/>
        <v>9.00360144057623E-3</v>
      </c>
      <c r="I20" s="20">
        <f t="shared" si="1"/>
        <v>-1.7364657814096043E-2</v>
      </c>
      <c r="J20" s="20">
        <f t="shared" si="1"/>
        <v>-7.4626865671640818E-3</v>
      </c>
      <c r="K20" s="20">
        <f t="shared" si="1"/>
        <v>2.5260845689181737E-2</v>
      </c>
      <c r="L20" s="20">
        <f t="shared" si="1"/>
        <v>1.7650639074862917E-2</v>
      </c>
      <c r="M20" s="20">
        <f t="shared" si="1"/>
        <v>7.5000000000000474E-3</v>
      </c>
      <c r="N20" s="20">
        <f t="shared" si="1"/>
        <v>1.8947368421052602E-2</v>
      </c>
      <c r="O20" s="20">
        <f t="shared" si="1"/>
        <v>2.3752969121140478E-3</v>
      </c>
      <c r="P20" s="20">
        <f t="shared" si="1"/>
        <v>5.9395248380130824E-3</v>
      </c>
      <c r="Q20" s="20">
        <f t="shared" si="1"/>
        <v>7.4285714285714935E-3</v>
      </c>
    </row>
    <row r="21" spans="2:17" x14ac:dyDescent="0.35">
      <c r="B21" s="9" t="s">
        <v>34</v>
      </c>
      <c r="C21" s="9">
        <v>2022</v>
      </c>
      <c r="D21" s="9" t="s">
        <v>42</v>
      </c>
      <c r="E21" s="20">
        <f t="shared" si="1"/>
        <v>1.9962570180910719E-2</v>
      </c>
      <c r="F21" s="20">
        <f t="shared" si="1"/>
        <v>1.3075060532687597E-2</v>
      </c>
      <c r="G21" s="20">
        <f t="shared" si="1"/>
        <v>2.9550827423167852E-3</v>
      </c>
      <c r="H21" s="20">
        <f t="shared" si="1"/>
        <v>9.5181439619273899E-3</v>
      </c>
      <c r="I21" s="20">
        <f t="shared" si="1"/>
        <v>-1.9230769230769319E-2</v>
      </c>
      <c r="J21" s="20">
        <f t="shared" si="1"/>
        <v>-4.1642567958357531E-2</v>
      </c>
      <c r="K21" s="20">
        <f t="shared" si="1"/>
        <v>2.7316550615961558E-2</v>
      </c>
      <c r="L21" s="20">
        <f t="shared" si="1"/>
        <v>1.1363636363636399E-2</v>
      </c>
      <c r="M21" s="20">
        <f t="shared" si="1"/>
        <v>5.7899090157153728E-3</v>
      </c>
      <c r="N21" s="20">
        <f t="shared" si="1"/>
        <v>1.9111570247933973E-2</v>
      </c>
      <c r="O21" s="20">
        <f t="shared" si="1"/>
        <v>3.5545023696682125E-3</v>
      </c>
      <c r="P21" s="20">
        <f t="shared" si="1"/>
        <v>5.9044551798174676E-3</v>
      </c>
      <c r="Q21" s="20">
        <f t="shared" si="1"/>
        <v>8.5082246171298923E-3</v>
      </c>
    </row>
    <row r="22" spans="2:17" x14ac:dyDescent="0.35">
      <c r="B22" s="9" t="s">
        <v>34</v>
      </c>
      <c r="C22" s="9">
        <v>2022</v>
      </c>
      <c r="D22" s="9" t="s">
        <v>43</v>
      </c>
      <c r="E22" s="20">
        <f t="shared" si="1"/>
        <v>1.0397553516819502E-2</v>
      </c>
      <c r="F22" s="20">
        <f t="shared" si="1"/>
        <v>8.1261950286807706E-3</v>
      </c>
      <c r="G22" s="20">
        <f t="shared" si="1"/>
        <v>7.0713022981733478E-3</v>
      </c>
      <c r="H22" s="20">
        <f t="shared" si="1"/>
        <v>7.0713022981733478E-3</v>
      </c>
      <c r="I22" s="20">
        <f t="shared" si="1"/>
        <v>-1.1658717541070422E-2</v>
      </c>
      <c r="J22" s="20">
        <f t="shared" si="1"/>
        <v>-1.1466505733252729E-2</v>
      </c>
      <c r="K22" s="20">
        <f t="shared" si="1"/>
        <v>4.118873826903012E-2</v>
      </c>
      <c r="L22" s="20">
        <f t="shared" si="1"/>
        <v>4.1395623891189656E-3</v>
      </c>
      <c r="M22" s="20">
        <f t="shared" si="1"/>
        <v>2.4671052631579883E-3</v>
      </c>
      <c r="N22" s="20">
        <f t="shared" si="1"/>
        <v>1.3177901672579798E-2</v>
      </c>
      <c r="O22" s="20">
        <f t="shared" si="1"/>
        <v>2.9515938606847697E-3</v>
      </c>
      <c r="P22" s="20">
        <f t="shared" si="1"/>
        <v>4.8025613660619302E-3</v>
      </c>
      <c r="Q22" s="20">
        <f t="shared" si="1"/>
        <v>1.0123734533183255E-2</v>
      </c>
    </row>
    <row r="23" spans="2:17" x14ac:dyDescent="0.35">
      <c r="B23" s="9" t="s">
        <v>34</v>
      </c>
      <c r="C23" s="9">
        <v>2022</v>
      </c>
      <c r="D23" s="9" t="s">
        <v>45</v>
      </c>
      <c r="E23" s="20">
        <f t="shared" si="1"/>
        <v>1.3317191283293082E-2</v>
      </c>
      <c r="F23" s="20">
        <f t="shared" si="1"/>
        <v>-7.1123755334281651E-3</v>
      </c>
      <c r="G23" s="20">
        <f t="shared" si="1"/>
        <v>6.1439438267992974E-2</v>
      </c>
      <c r="H23" s="20">
        <f t="shared" si="1"/>
        <v>8.1919251023990971E-3</v>
      </c>
      <c r="I23" s="20">
        <f t="shared" si="1"/>
        <v>1.286863270777483E-2</v>
      </c>
      <c r="J23" s="20">
        <f t="shared" si="1"/>
        <v>-1.8925518925519063E-2</v>
      </c>
      <c r="K23" s="20">
        <f t="shared" si="1"/>
        <v>-8.3124687030545791E-2</v>
      </c>
      <c r="L23" s="20">
        <f t="shared" si="1"/>
        <v>4.1224970553591792E-3</v>
      </c>
      <c r="M23" s="20">
        <f t="shared" si="1"/>
        <v>1.640689089417462E-3</v>
      </c>
      <c r="N23" s="20">
        <f t="shared" si="1"/>
        <v>1.4507253626813434E-2</v>
      </c>
      <c r="O23" s="20">
        <f t="shared" si="1"/>
        <v>2.942907592701589E-3</v>
      </c>
      <c r="P23" s="20">
        <f t="shared" si="1"/>
        <v>6.3728093467869812E-3</v>
      </c>
      <c r="Q23" s="20">
        <f t="shared" si="1"/>
        <v>-7.2383073496658295E-3</v>
      </c>
    </row>
    <row r="24" spans="2:17" x14ac:dyDescent="0.35">
      <c r="B24" s="9" t="s">
        <v>34</v>
      </c>
      <c r="C24" s="9">
        <v>2022</v>
      </c>
      <c r="D24" s="9" t="s">
        <v>46</v>
      </c>
      <c r="E24" s="20">
        <f t="shared" si="1"/>
        <v>1.0752688172042909E-2</v>
      </c>
      <c r="F24" s="20">
        <f t="shared" si="1"/>
        <v>-1.9102196752626823E-3</v>
      </c>
      <c r="G24" s="20">
        <f t="shared" si="1"/>
        <v>4.8511576626240255E-2</v>
      </c>
      <c r="H24" s="20">
        <f t="shared" si="1"/>
        <v>7.5449796865930518E-3</v>
      </c>
      <c r="I24" s="20">
        <f t="shared" si="1"/>
        <v>-2.1175224986765785E-3</v>
      </c>
      <c r="J24" s="20">
        <f t="shared" si="1"/>
        <v>-1.6801493466085806E-2</v>
      </c>
      <c r="K24" s="20">
        <f t="shared" si="1"/>
        <v>-0.12670671764063349</v>
      </c>
      <c r="L24" s="20">
        <f t="shared" si="1"/>
        <v>1.7595307917889231E-3</v>
      </c>
      <c r="M24" s="20">
        <f t="shared" si="1"/>
        <v>-2.457002457002434E-3</v>
      </c>
      <c r="N24" s="20">
        <f t="shared" si="1"/>
        <v>1.1834319526627106E-2</v>
      </c>
      <c r="O24" s="20">
        <f t="shared" si="1"/>
        <v>3.521126760563347E-3</v>
      </c>
      <c r="P24" s="20">
        <f t="shared" si="1"/>
        <v>4.2216358839050729E-3</v>
      </c>
      <c r="Q24" s="20">
        <f t="shared" si="1"/>
        <v>-1.3460459899046581E-2</v>
      </c>
    </row>
    <row r="25" spans="2:17" x14ac:dyDescent="0.35">
      <c r="B25" s="9" t="s">
        <v>34</v>
      </c>
      <c r="C25" s="9">
        <v>2023</v>
      </c>
      <c r="D25" s="9" t="s">
        <v>31</v>
      </c>
      <c r="E25" s="20">
        <f t="shared" si="1"/>
        <v>2.7186761229314557E-2</v>
      </c>
      <c r="F25" s="20">
        <f t="shared" si="1"/>
        <v>8.1339712918659744E-3</v>
      </c>
      <c r="G25" s="20">
        <f t="shared" si="1"/>
        <v>2.2607781282860208E-2</v>
      </c>
      <c r="H25" s="20">
        <f t="shared" si="1"/>
        <v>5.7603686635944703E-3</v>
      </c>
      <c r="I25" s="20">
        <f t="shared" si="1"/>
        <v>-6.8965517241379917E-3</v>
      </c>
      <c r="J25" s="20">
        <f t="shared" si="1"/>
        <v>1.8987341772152618E-3</v>
      </c>
      <c r="K25" s="20">
        <f t="shared" si="1"/>
        <v>-3.7523452157598496E-2</v>
      </c>
      <c r="L25" s="20">
        <f t="shared" si="1"/>
        <v>5.854800936767817E-4</v>
      </c>
      <c r="M25" s="20">
        <f t="shared" si="1"/>
        <v>-5.7471264367816325E-3</v>
      </c>
      <c r="N25" s="20">
        <f t="shared" si="1"/>
        <v>1.5594541910331468E-2</v>
      </c>
      <c r="O25" s="20">
        <f t="shared" si="1"/>
        <v>2.339181286549741E-3</v>
      </c>
      <c r="P25" s="20">
        <f t="shared" si="1"/>
        <v>4.7293746715710832E-3</v>
      </c>
      <c r="Q25" s="20">
        <f t="shared" si="1"/>
        <v>4.5480386583284984E-3</v>
      </c>
    </row>
    <row r="26" spans="2:17" x14ac:dyDescent="0.35">
      <c r="B26" s="9" t="s">
        <v>34</v>
      </c>
      <c r="C26" s="9">
        <v>2023</v>
      </c>
      <c r="D26" s="9" t="s">
        <v>35</v>
      </c>
      <c r="E26" s="20">
        <f t="shared" si="1"/>
        <v>3.4522439585730398E-3</v>
      </c>
      <c r="F26" s="20">
        <f t="shared" si="1"/>
        <v>-1.423825344091125E-2</v>
      </c>
      <c r="G26" s="20">
        <f t="shared" si="1"/>
        <v>-9.9228791773778982E-2</v>
      </c>
      <c r="H26" s="20">
        <f t="shared" si="1"/>
        <v>1.5463917525773294E-2</v>
      </c>
      <c r="I26" s="20">
        <f t="shared" si="1"/>
        <v>-4.2200854700854579E-2</v>
      </c>
      <c r="J26" s="20">
        <f t="shared" si="1"/>
        <v>7.0751737207833149E-2</v>
      </c>
      <c r="K26" s="20">
        <f t="shared" si="1"/>
        <v>-7.7972709551658026E-3</v>
      </c>
      <c r="L26" s="20">
        <f t="shared" si="1"/>
        <v>5.8513750731418557E-4</v>
      </c>
      <c r="M26" s="20">
        <f t="shared" si="1"/>
        <v>-9.0834021469859156E-3</v>
      </c>
      <c r="N26" s="20">
        <f t="shared" si="1"/>
        <v>6.2380038387715112E-3</v>
      </c>
      <c r="O26" s="20">
        <f t="shared" si="1"/>
        <v>5.2508751458576761E-3</v>
      </c>
      <c r="P26" s="20">
        <f t="shared" si="1"/>
        <v>9.4142259414226534E-3</v>
      </c>
      <c r="Q26" s="20">
        <f t="shared" si="1"/>
        <v>1.6977928692700134E-3</v>
      </c>
    </row>
    <row r="27" spans="2:17" x14ac:dyDescent="0.35">
      <c r="B27" s="9" t="s">
        <v>34</v>
      </c>
      <c r="C27" s="9">
        <v>2023</v>
      </c>
      <c r="D27" s="9" t="s">
        <v>36</v>
      </c>
      <c r="E27" s="20">
        <f t="shared" si="1"/>
        <v>0</v>
      </c>
      <c r="F27" s="20">
        <f t="shared" si="1"/>
        <v>0</v>
      </c>
      <c r="G27" s="20">
        <f t="shared" si="1"/>
        <v>0</v>
      </c>
      <c r="H27" s="20">
        <f t="shared" si="1"/>
        <v>0</v>
      </c>
      <c r="I27" s="20">
        <f t="shared" si="1"/>
        <v>-5.5772448410497898E-4</v>
      </c>
      <c r="J27" s="20">
        <f t="shared" si="1"/>
        <v>0</v>
      </c>
      <c r="K27" s="20">
        <f t="shared" si="1"/>
        <v>6.5487884741337755E-4</v>
      </c>
      <c r="L27" s="20">
        <f t="shared" si="1"/>
        <v>5.8479532163739363E-4</v>
      </c>
      <c r="M27" s="20">
        <f t="shared" si="1"/>
        <v>0</v>
      </c>
      <c r="N27" s="20">
        <f t="shared" si="1"/>
        <v>0</v>
      </c>
      <c r="O27" s="20">
        <f t="shared" si="1"/>
        <v>0</v>
      </c>
      <c r="P27" s="20">
        <f t="shared" si="1"/>
        <v>0</v>
      </c>
      <c r="Q27" s="20">
        <f t="shared" si="1"/>
        <v>0</v>
      </c>
    </row>
    <row r="28" spans="2:17" x14ac:dyDescent="0.35">
      <c r="B28" s="9" t="s">
        <v>34</v>
      </c>
      <c r="C28" s="9">
        <v>2023</v>
      </c>
      <c r="D28" s="9" t="s">
        <v>37</v>
      </c>
      <c r="E28" s="20">
        <f t="shared" si="1"/>
        <v>-3.4403669724770315E-3</v>
      </c>
      <c r="F28" s="20">
        <f t="shared" si="1"/>
        <v>7.7034183919115207E-3</v>
      </c>
      <c r="G28" s="20">
        <f t="shared" si="1"/>
        <v>-3.1963470319634674E-2</v>
      </c>
      <c r="H28" s="20">
        <f t="shared" si="1"/>
        <v>6.2041737168640398E-3</v>
      </c>
      <c r="I28" s="20">
        <f t="shared" si="1"/>
        <v>-2.3995535714285622E-2</v>
      </c>
      <c r="J28" s="20">
        <f t="shared" si="1"/>
        <v>4.0117994100295054E-2</v>
      </c>
      <c r="K28" s="20">
        <f t="shared" si="1"/>
        <v>1.7015706806282685E-2</v>
      </c>
      <c r="L28" s="20">
        <f t="shared" si="1"/>
        <v>1.3442431326709593E-2</v>
      </c>
      <c r="M28" s="20">
        <f t="shared" si="1"/>
        <v>1.0833333333333309E-2</v>
      </c>
      <c r="N28" s="20">
        <f t="shared" si="1"/>
        <v>1.5259895088221351E-2</v>
      </c>
      <c r="O28" s="20">
        <f t="shared" si="1"/>
        <v>3.4822983168891135E-3</v>
      </c>
      <c r="P28" s="20">
        <f t="shared" si="1"/>
        <v>2.5906735751295338E-3</v>
      </c>
      <c r="Q28" s="20">
        <f t="shared" si="1"/>
        <v>5.0847457627118961E-3</v>
      </c>
    </row>
    <row r="29" spans="2:17" x14ac:dyDescent="0.35">
      <c r="B29" s="9" t="s">
        <v>34</v>
      </c>
      <c r="C29" s="9">
        <v>2023</v>
      </c>
      <c r="D29" s="9" t="s">
        <v>38</v>
      </c>
      <c r="E29" s="20">
        <f t="shared" si="1"/>
        <v>-5.7537399309564284E-4</v>
      </c>
      <c r="F29" s="20">
        <f t="shared" si="1"/>
        <v>2.3889154323936932E-2</v>
      </c>
      <c r="G29" s="20">
        <f t="shared" si="1"/>
        <v>2.122641509433959E-2</v>
      </c>
      <c r="H29" s="20">
        <f t="shared" si="1"/>
        <v>6.1659192825111791E-3</v>
      </c>
      <c r="I29" s="20">
        <f t="shared" si="1"/>
        <v>-2.801600914808465E-2</v>
      </c>
      <c r="J29" s="20">
        <f t="shared" si="1"/>
        <v>-2.32558139534885E-2</v>
      </c>
      <c r="K29" s="20">
        <f t="shared" si="1"/>
        <v>3.6036036036036001E-2</v>
      </c>
      <c r="L29" s="20">
        <f t="shared" si="1"/>
        <v>1.2687427912341341E-2</v>
      </c>
      <c r="M29" s="20">
        <f t="shared" si="1"/>
        <v>1.1541632316570533E-2</v>
      </c>
      <c r="N29" s="20">
        <f t="shared" si="1"/>
        <v>2.3954908407703118E-2</v>
      </c>
      <c r="O29" s="20">
        <f t="shared" si="1"/>
        <v>2.8918449971081549E-3</v>
      </c>
      <c r="P29" s="20">
        <f t="shared" si="1"/>
        <v>3.6175710594314658E-3</v>
      </c>
      <c r="Q29" s="20">
        <f t="shared" si="1"/>
        <v>6.7453625632377095E-3</v>
      </c>
    </row>
    <row r="30" spans="2:17" x14ac:dyDescent="0.35">
      <c r="B30" s="52" t="s">
        <v>83</v>
      </c>
      <c r="C30" s="52"/>
      <c r="D30" s="52"/>
      <c r="E30" s="21">
        <f>SUM(E18:E29)</f>
        <v>0.12085220029035372</v>
      </c>
      <c r="F30" s="21">
        <f t="shared" ref="F30:Q30" si="2">SUM(F18:F29)</f>
        <v>-1.0960038075584964E-2</v>
      </c>
      <c r="G30" s="21">
        <f t="shared" si="2"/>
        <v>7.5858020928857975E-2</v>
      </c>
      <c r="H30" s="21">
        <f t="shared" si="2"/>
        <v>8.5207275393248891E-2</v>
      </c>
      <c r="I30" s="21">
        <f t="shared" si="2"/>
        <v>-0.17196654140370343</v>
      </c>
      <c r="J30" s="21">
        <f t="shared" si="2"/>
        <v>1.212892331833881E-2</v>
      </c>
      <c r="K30" s="21">
        <f t="shared" si="2"/>
        <v>-6.6466572857876549E-2</v>
      </c>
      <c r="L30" s="21">
        <f t="shared" si="2"/>
        <v>6.4492479670082731E-2</v>
      </c>
      <c r="M30" s="21">
        <f t="shared" si="2"/>
        <v>2.4990010110495772E-2</v>
      </c>
      <c r="N30" s="21">
        <f t="shared" si="2"/>
        <v>0.16602381892132637</v>
      </c>
      <c r="O30" s="21">
        <f t="shared" si="2"/>
        <v>3.7075142679248593E-2</v>
      </c>
      <c r="P30" s="21">
        <f t="shared" si="2"/>
        <v>6.2333124010194668E-2</v>
      </c>
      <c r="Q30" s="21">
        <f t="shared" si="2"/>
        <v>3.3242003192595196E-2</v>
      </c>
    </row>
    <row r="33" spans="2:17" x14ac:dyDescent="0.35">
      <c r="B33" s="18" t="s">
        <v>0</v>
      </c>
      <c r="C33" s="18" t="s">
        <v>1</v>
      </c>
      <c r="D33" s="18" t="s">
        <v>2</v>
      </c>
      <c r="E33" s="19" t="s">
        <v>3</v>
      </c>
      <c r="F33" s="19" t="s">
        <v>4</v>
      </c>
      <c r="G33" s="19" t="s">
        <v>5</v>
      </c>
      <c r="H33" s="19" t="s">
        <v>6</v>
      </c>
      <c r="I33" s="19" t="s">
        <v>7</v>
      </c>
      <c r="J33" s="19" t="s">
        <v>8</v>
      </c>
      <c r="K33" s="19" t="s">
        <v>9</v>
      </c>
      <c r="L33" s="19" t="s">
        <v>10</v>
      </c>
      <c r="M33" s="19" t="s">
        <v>11</v>
      </c>
      <c r="N33" s="19" t="s">
        <v>12</v>
      </c>
      <c r="O33" s="19" t="s">
        <v>13</v>
      </c>
      <c r="P33" s="19" t="s">
        <v>14</v>
      </c>
      <c r="Q33" s="19" t="s">
        <v>15</v>
      </c>
    </row>
    <row r="34" spans="2:17" x14ac:dyDescent="0.35">
      <c r="B34" s="9" t="s">
        <v>30</v>
      </c>
      <c r="C34" s="9">
        <v>2022</v>
      </c>
      <c r="D34" s="9" t="s">
        <v>38</v>
      </c>
      <c r="E34" s="9">
        <v>152.9</v>
      </c>
      <c r="F34" s="9">
        <v>214.7</v>
      </c>
      <c r="G34" s="9">
        <v>161.4</v>
      </c>
      <c r="H34" s="9">
        <v>164.6</v>
      </c>
      <c r="I34" s="9">
        <v>209.9</v>
      </c>
      <c r="J34" s="9">
        <v>168</v>
      </c>
      <c r="K34" s="9">
        <v>160.4</v>
      </c>
      <c r="L34" s="9">
        <v>165</v>
      </c>
      <c r="M34" s="9">
        <v>118.9</v>
      </c>
      <c r="N34" s="9">
        <v>186.6</v>
      </c>
      <c r="O34" s="9">
        <v>173.2</v>
      </c>
      <c r="P34" s="9">
        <v>180.4</v>
      </c>
      <c r="Q34" s="9">
        <v>170.8</v>
      </c>
    </row>
    <row r="35" spans="2:17" x14ac:dyDescent="0.35">
      <c r="B35" s="9" t="s">
        <v>30</v>
      </c>
      <c r="C35" s="9">
        <v>2022</v>
      </c>
      <c r="D35" s="9" t="s">
        <v>39</v>
      </c>
      <c r="E35" s="9">
        <v>153.80000000000001</v>
      </c>
      <c r="F35" s="9">
        <v>217.2</v>
      </c>
      <c r="G35" s="9">
        <v>169.6</v>
      </c>
      <c r="H35" s="9">
        <v>165.4</v>
      </c>
      <c r="I35" s="9">
        <v>208.1</v>
      </c>
      <c r="J35" s="9">
        <v>165.8</v>
      </c>
      <c r="K35" s="9">
        <v>167.3</v>
      </c>
      <c r="L35" s="9">
        <v>164.6</v>
      </c>
      <c r="M35" s="9">
        <v>119.1</v>
      </c>
      <c r="N35" s="9">
        <v>188.9</v>
      </c>
      <c r="O35" s="9">
        <v>174.2</v>
      </c>
      <c r="P35" s="9">
        <v>181.9</v>
      </c>
      <c r="Q35" s="9">
        <v>172.4</v>
      </c>
    </row>
    <row r="36" spans="2:17" x14ac:dyDescent="0.35">
      <c r="B36" s="9" t="s">
        <v>30</v>
      </c>
      <c r="C36" s="9">
        <v>2022</v>
      </c>
      <c r="D36" s="9" t="s">
        <v>40</v>
      </c>
      <c r="E36" s="9">
        <v>155.19999999999999</v>
      </c>
      <c r="F36" s="9">
        <v>210.8</v>
      </c>
      <c r="G36" s="9">
        <v>174.3</v>
      </c>
      <c r="H36" s="9">
        <v>166.3</v>
      </c>
      <c r="I36" s="9">
        <v>202.2</v>
      </c>
      <c r="J36" s="9">
        <v>169.6</v>
      </c>
      <c r="K36" s="9">
        <v>168.6</v>
      </c>
      <c r="L36" s="9">
        <v>164.4</v>
      </c>
      <c r="M36" s="9">
        <v>119.2</v>
      </c>
      <c r="N36" s="9">
        <v>191.8</v>
      </c>
      <c r="O36" s="9">
        <v>174.5</v>
      </c>
      <c r="P36" s="9">
        <v>183.1</v>
      </c>
      <c r="Q36" s="9">
        <v>172.5</v>
      </c>
    </row>
    <row r="37" spans="2:17" x14ac:dyDescent="0.35">
      <c r="B37" s="9" t="s">
        <v>30</v>
      </c>
      <c r="C37" s="9">
        <v>2022</v>
      </c>
      <c r="D37" s="9" t="s">
        <v>41</v>
      </c>
      <c r="E37" s="9">
        <v>159.5</v>
      </c>
      <c r="F37" s="9">
        <v>204.1</v>
      </c>
      <c r="G37" s="9">
        <v>168.3</v>
      </c>
      <c r="H37" s="9">
        <v>167.9</v>
      </c>
      <c r="I37" s="9">
        <v>198.1</v>
      </c>
      <c r="J37" s="9">
        <v>169.2</v>
      </c>
      <c r="K37" s="9">
        <v>173.1</v>
      </c>
      <c r="L37" s="9">
        <v>167.1</v>
      </c>
      <c r="M37" s="9">
        <v>120.2</v>
      </c>
      <c r="N37" s="9">
        <v>195.6</v>
      </c>
      <c r="O37" s="9">
        <v>174.8</v>
      </c>
      <c r="P37" s="9">
        <v>184</v>
      </c>
      <c r="Q37" s="9">
        <v>173.9</v>
      </c>
    </row>
    <row r="38" spans="2:17" x14ac:dyDescent="0.35">
      <c r="B38" s="9" t="s">
        <v>30</v>
      </c>
      <c r="C38" s="9">
        <v>2022</v>
      </c>
      <c r="D38" s="9" t="s">
        <v>42</v>
      </c>
      <c r="E38" s="9">
        <v>162.9</v>
      </c>
      <c r="F38" s="9">
        <v>206.7</v>
      </c>
      <c r="G38" s="9">
        <v>169</v>
      </c>
      <c r="H38" s="9">
        <v>169.5</v>
      </c>
      <c r="I38" s="9">
        <v>194.1</v>
      </c>
      <c r="J38" s="9">
        <v>164.1</v>
      </c>
      <c r="K38" s="9">
        <v>176.9</v>
      </c>
      <c r="L38" s="9">
        <v>169</v>
      </c>
      <c r="M38" s="9">
        <v>120.8</v>
      </c>
      <c r="N38" s="9">
        <v>199.1</v>
      </c>
      <c r="O38" s="9">
        <v>175.4</v>
      </c>
      <c r="P38" s="9">
        <v>184.8</v>
      </c>
      <c r="Q38" s="9">
        <v>175.5</v>
      </c>
    </row>
    <row r="39" spans="2:17" x14ac:dyDescent="0.35">
      <c r="B39" s="9" t="s">
        <v>30</v>
      </c>
      <c r="C39" s="9">
        <v>2022</v>
      </c>
      <c r="D39" s="9" t="s">
        <v>43</v>
      </c>
      <c r="E39" s="9">
        <v>164.7</v>
      </c>
      <c r="F39" s="9">
        <v>208.8</v>
      </c>
      <c r="G39" s="9">
        <v>170.3</v>
      </c>
      <c r="H39" s="9">
        <v>170.9</v>
      </c>
      <c r="I39" s="9">
        <v>191.6</v>
      </c>
      <c r="J39" s="9">
        <v>162.19999999999999</v>
      </c>
      <c r="K39" s="9">
        <v>184.8</v>
      </c>
      <c r="L39" s="9">
        <v>169.7</v>
      </c>
      <c r="M39" s="9">
        <v>121.1</v>
      </c>
      <c r="N39" s="9">
        <v>201.6</v>
      </c>
      <c r="O39" s="9">
        <v>175.8</v>
      </c>
      <c r="P39" s="9">
        <v>185.6</v>
      </c>
      <c r="Q39" s="9">
        <v>177.4</v>
      </c>
    </row>
    <row r="40" spans="2:17" x14ac:dyDescent="0.35">
      <c r="B40" s="9" t="s">
        <v>30</v>
      </c>
      <c r="C40" s="9">
        <v>2022</v>
      </c>
      <c r="D40" s="9" t="s">
        <v>45</v>
      </c>
      <c r="E40" s="9">
        <v>166.9</v>
      </c>
      <c r="F40" s="9">
        <v>207.2</v>
      </c>
      <c r="G40" s="9">
        <v>180.2</v>
      </c>
      <c r="H40" s="9">
        <v>172.3</v>
      </c>
      <c r="I40" s="9">
        <v>194</v>
      </c>
      <c r="J40" s="9">
        <v>159.1</v>
      </c>
      <c r="K40" s="9">
        <v>171.6</v>
      </c>
      <c r="L40" s="9">
        <v>170.2</v>
      </c>
      <c r="M40" s="9">
        <v>121.5</v>
      </c>
      <c r="N40" s="9">
        <v>204.8</v>
      </c>
      <c r="O40" s="9">
        <v>176.4</v>
      </c>
      <c r="P40" s="9">
        <v>186.9</v>
      </c>
      <c r="Q40" s="9">
        <v>176.6</v>
      </c>
    </row>
    <row r="41" spans="2:17" x14ac:dyDescent="0.35">
      <c r="B41" s="9" t="s">
        <v>30</v>
      </c>
      <c r="C41" s="9">
        <v>2022</v>
      </c>
      <c r="D41" s="9" t="s">
        <v>46</v>
      </c>
      <c r="E41" s="9">
        <v>168.8</v>
      </c>
      <c r="F41" s="9">
        <v>206.9</v>
      </c>
      <c r="G41" s="9">
        <v>189.1</v>
      </c>
      <c r="H41" s="9">
        <v>173.4</v>
      </c>
      <c r="I41" s="9">
        <v>193.9</v>
      </c>
      <c r="J41" s="9">
        <v>156.69999999999999</v>
      </c>
      <c r="K41" s="9">
        <v>150.19999999999999</v>
      </c>
      <c r="L41" s="9">
        <v>170.5</v>
      </c>
      <c r="M41" s="9">
        <v>121.2</v>
      </c>
      <c r="N41" s="9">
        <v>207.5</v>
      </c>
      <c r="O41" s="9">
        <v>176.8</v>
      </c>
      <c r="P41" s="9">
        <v>187.7</v>
      </c>
      <c r="Q41" s="9">
        <v>174.4</v>
      </c>
    </row>
    <row r="42" spans="2:17" x14ac:dyDescent="0.35">
      <c r="B42" s="9" t="s">
        <v>30</v>
      </c>
      <c r="C42" s="9">
        <v>2023</v>
      </c>
      <c r="D42" s="9" t="s">
        <v>31</v>
      </c>
      <c r="E42" s="9">
        <v>174</v>
      </c>
      <c r="F42" s="9">
        <v>208.3</v>
      </c>
      <c r="G42" s="9">
        <v>192.9</v>
      </c>
      <c r="H42" s="9">
        <v>174.3</v>
      </c>
      <c r="I42" s="9">
        <v>192.6</v>
      </c>
      <c r="J42" s="9">
        <v>156.30000000000001</v>
      </c>
      <c r="K42" s="9">
        <v>142.9</v>
      </c>
      <c r="L42" s="9">
        <v>170.7</v>
      </c>
      <c r="M42" s="9">
        <v>120.3</v>
      </c>
      <c r="N42" s="9">
        <v>210.5</v>
      </c>
      <c r="O42" s="9">
        <v>176.9</v>
      </c>
      <c r="P42" s="9">
        <v>188.5</v>
      </c>
      <c r="Q42" s="9">
        <v>175</v>
      </c>
    </row>
    <row r="43" spans="2:17" x14ac:dyDescent="0.35">
      <c r="B43" s="9" t="s">
        <v>30</v>
      </c>
      <c r="C43" s="9">
        <v>2023</v>
      </c>
      <c r="D43" s="9" t="s">
        <v>35</v>
      </c>
      <c r="E43" s="9">
        <v>174.2</v>
      </c>
      <c r="F43" s="9">
        <v>205.2</v>
      </c>
      <c r="G43" s="9">
        <v>173.9</v>
      </c>
      <c r="H43" s="9">
        <v>177</v>
      </c>
      <c r="I43" s="9">
        <v>183.4</v>
      </c>
      <c r="J43" s="9">
        <v>167.2</v>
      </c>
      <c r="K43" s="9">
        <v>140.9</v>
      </c>
      <c r="L43" s="9">
        <v>170.4</v>
      </c>
      <c r="M43" s="9">
        <v>119.1</v>
      </c>
      <c r="N43" s="9">
        <v>212.1</v>
      </c>
      <c r="O43" s="9">
        <v>177.6</v>
      </c>
      <c r="P43" s="9">
        <v>189.9</v>
      </c>
      <c r="Q43" s="9">
        <v>174.8</v>
      </c>
    </row>
    <row r="44" spans="2:17" x14ac:dyDescent="0.35">
      <c r="B44" s="9" t="s">
        <v>30</v>
      </c>
      <c r="C44" s="9">
        <v>2023</v>
      </c>
      <c r="D44" s="9" t="s">
        <v>36</v>
      </c>
      <c r="E44" s="9">
        <v>174.3</v>
      </c>
      <c r="F44" s="9">
        <v>205.2</v>
      </c>
      <c r="G44" s="9">
        <v>173.9</v>
      </c>
      <c r="H44" s="9">
        <v>177</v>
      </c>
      <c r="I44" s="9">
        <v>183.3</v>
      </c>
      <c r="J44" s="9">
        <v>167.2</v>
      </c>
      <c r="K44" s="9">
        <v>140.9</v>
      </c>
      <c r="L44" s="9">
        <v>170.5</v>
      </c>
      <c r="M44" s="9">
        <v>119.1</v>
      </c>
      <c r="N44" s="9">
        <v>212.1</v>
      </c>
      <c r="O44" s="9">
        <v>177.6</v>
      </c>
      <c r="P44" s="9">
        <v>189.9</v>
      </c>
      <c r="Q44" s="9">
        <v>174.8</v>
      </c>
    </row>
    <row r="45" spans="2:17" x14ac:dyDescent="0.35">
      <c r="B45" s="9" t="s">
        <v>30</v>
      </c>
      <c r="C45" s="9">
        <v>2023</v>
      </c>
      <c r="D45" s="9" t="s">
        <v>37</v>
      </c>
      <c r="E45" s="9">
        <v>173.3</v>
      </c>
      <c r="F45" s="9">
        <v>206.9</v>
      </c>
      <c r="G45" s="9">
        <v>167.9</v>
      </c>
      <c r="H45" s="9">
        <v>178.2</v>
      </c>
      <c r="I45" s="9">
        <v>178.5</v>
      </c>
      <c r="J45" s="9">
        <v>173.7</v>
      </c>
      <c r="K45" s="9">
        <v>142.80000000000001</v>
      </c>
      <c r="L45" s="9">
        <v>172.8</v>
      </c>
      <c r="M45" s="9">
        <v>120.4</v>
      </c>
      <c r="N45" s="9">
        <v>215.5</v>
      </c>
      <c r="O45" s="9">
        <v>178.2</v>
      </c>
      <c r="P45" s="9">
        <v>190.5</v>
      </c>
      <c r="Q45" s="9">
        <v>175.5</v>
      </c>
    </row>
    <row r="46" spans="2:17" x14ac:dyDescent="0.35">
      <c r="B46" s="9" t="s">
        <v>30</v>
      </c>
      <c r="C46" s="9">
        <v>2023</v>
      </c>
      <c r="D46" s="9" t="s">
        <v>38</v>
      </c>
      <c r="E46" s="9">
        <v>173.2</v>
      </c>
      <c r="F46" s="9">
        <v>211.5</v>
      </c>
      <c r="G46" s="9">
        <v>171</v>
      </c>
      <c r="H46" s="9">
        <v>179.6</v>
      </c>
      <c r="I46" s="9">
        <v>173.3</v>
      </c>
      <c r="J46" s="9">
        <v>169</v>
      </c>
      <c r="K46" s="9">
        <v>148.69999999999999</v>
      </c>
      <c r="L46" s="9">
        <v>174.9</v>
      </c>
      <c r="M46" s="9">
        <v>121.9</v>
      </c>
      <c r="N46" s="9">
        <v>221</v>
      </c>
      <c r="O46" s="9">
        <v>178.7</v>
      </c>
      <c r="P46" s="9">
        <v>191.1</v>
      </c>
      <c r="Q46" s="9">
        <v>176.8</v>
      </c>
    </row>
    <row r="48" spans="2:17" x14ac:dyDescent="0.35">
      <c r="B48" s="18" t="s">
        <v>0</v>
      </c>
      <c r="C48" s="18" t="s">
        <v>1</v>
      </c>
      <c r="D48" s="18" t="s">
        <v>2</v>
      </c>
      <c r="E48" s="19" t="s">
        <v>3</v>
      </c>
      <c r="F48" s="19" t="s">
        <v>4</v>
      </c>
      <c r="G48" s="19" t="s">
        <v>5</v>
      </c>
      <c r="H48" s="19" t="s">
        <v>6</v>
      </c>
      <c r="I48" s="19" t="s">
        <v>7</v>
      </c>
      <c r="J48" s="19" t="s">
        <v>8</v>
      </c>
      <c r="K48" s="19" t="s">
        <v>9</v>
      </c>
      <c r="L48" s="19" t="s">
        <v>10</v>
      </c>
      <c r="M48" s="19" t="s">
        <v>11</v>
      </c>
      <c r="N48" s="19" t="s">
        <v>12</v>
      </c>
      <c r="O48" s="19" t="s">
        <v>13</v>
      </c>
      <c r="P48" s="19" t="s">
        <v>14</v>
      </c>
      <c r="Q48" s="19" t="s">
        <v>15</v>
      </c>
    </row>
    <row r="49" spans="2:17" x14ac:dyDescent="0.35">
      <c r="B49" s="9" t="s">
        <v>30</v>
      </c>
      <c r="C49" s="9">
        <v>2022</v>
      </c>
      <c r="D49" s="9" t="s">
        <v>39</v>
      </c>
      <c r="E49" s="20">
        <f>(E35-E34)/E34</f>
        <v>5.8862001308044847E-3</v>
      </c>
      <c r="F49" s="20">
        <f t="shared" ref="F49:Q49" si="3">(F35-F34)/F34</f>
        <v>1.1644154634373545E-2</v>
      </c>
      <c r="G49" s="20">
        <f t="shared" si="3"/>
        <v>5.0805452292441065E-2</v>
      </c>
      <c r="H49" s="20">
        <f t="shared" si="3"/>
        <v>4.8602673147023776E-3</v>
      </c>
      <c r="I49" s="20">
        <f t="shared" si="3"/>
        <v>-8.5755121486422638E-3</v>
      </c>
      <c r="J49" s="20">
        <f t="shared" si="3"/>
        <v>-1.3095238095238028E-2</v>
      </c>
      <c r="K49" s="20">
        <f t="shared" si="3"/>
        <v>4.3017456359102278E-2</v>
      </c>
      <c r="L49" s="20">
        <f t="shared" si="3"/>
        <v>-2.4242424242424585E-3</v>
      </c>
      <c r="M49" s="20">
        <f t="shared" si="3"/>
        <v>1.6820857863750094E-3</v>
      </c>
      <c r="N49" s="20">
        <f t="shared" si="3"/>
        <v>1.2325830653804992E-2</v>
      </c>
      <c r="O49" s="20">
        <f t="shared" si="3"/>
        <v>5.7736720554272519E-3</v>
      </c>
      <c r="P49" s="20">
        <f t="shared" si="3"/>
        <v>8.3148558758314849E-3</v>
      </c>
      <c r="Q49" s="20">
        <f t="shared" si="3"/>
        <v>9.3676814988290051E-3</v>
      </c>
    </row>
    <row r="50" spans="2:17" x14ac:dyDescent="0.35">
      <c r="B50" s="9" t="s">
        <v>30</v>
      </c>
      <c r="C50" s="9">
        <v>2022</v>
      </c>
      <c r="D50" s="9" t="s">
        <v>40</v>
      </c>
      <c r="E50" s="20">
        <f t="shared" ref="E50:Q50" si="4">(E36-E35)/E35</f>
        <v>9.102730819245626E-3</v>
      </c>
      <c r="F50" s="20">
        <f t="shared" si="4"/>
        <v>-2.9465930018416103E-2</v>
      </c>
      <c r="G50" s="20">
        <f t="shared" si="4"/>
        <v>2.7712264150943498E-2</v>
      </c>
      <c r="H50" s="20">
        <f t="shared" si="4"/>
        <v>5.4413542926239761E-3</v>
      </c>
      <c r="I50" s="20">
        <f t="shared" si="4"/>
        <v>-2.8351753964440202E-2</v>
      </c>
      <c r="J50" s="20">
        <f t="shared" si="4"/>
        <v>2.2919179734619918E-2</v>
      </c>
      <c r="K50" s="20">
        <f t="shared" si="4"/>
        <v>7.770472205618547E-3</v>
      </c>
      <c r="L50" s="20">
        <f t="shared" si="4"/>
        <v>-1.2150668286755081E-3</v>
      </c>
      <c r="M50" s="20">
        <f t="shared" si="4"/>
        <v>8.3963056255254855E-4</v>
      </c>
      <c r="N50" s="20">
        <f t="shared" si="4"/>
        <v>1.5352038115405005E-2</v>
      </c>
      <c r="O50" s="20">
        <f t="shared" si="4"/>
        <v>1.7221584385764144E-3</v>
      </c>
      <c r="P50" s="20">
        <f t="shared" si="4"/>
        <v>6.5970313358987825E-3</v>
      </c>
      <c r="Q50" s="20">
        <f t="shared" si="4"/>
        <v>5.80046403712264E-4</v>
      </c>
    </row>
    <row r="51" spans="2:17" x14ac:dyDescent="0.35">
      <c r="B51" s="9" t="s">
        <v>30</v>
      </c>
      <c r="C51" s="9">
        <v>2022</v>
      </c>
      <c r="D51" s="9" t="s">
        <v>41</v>
      </c>
      <c r="E51" s="20">
        <f t="shared" ref="E51:Q51" si="5">(E37-E36)/E36</f>
        <v>2.7706185567010384E-2</v>
      </c>
      <c r="F51" s="20">
        <f t="shared" si="5"/>
        <v>-3.1783681214421329E-2</v>
      </c>
      <c r="G51" s="20">
        <f t="shared" si="5"/>
        <v>-3.4423407917383818E-2</v>
      </c>
      <c r="H51" s="20">
        <f t="shared" si="5"/>
        <v>9.6211665664461474E-3</v>
      </c>
      <c r="I51" s="20">
        <f t="shared" si="5"/>
        <v>-2.0276953511374849E-2</v>
      </c>
      <c r="J51" s="20">
        <f t="shared" si="5"/>
        <v>-2.3584905660377696E-3</v>
      </c>
      <c r="K51" s="20">
        <f t="shared" si="5"/>
        <v>2.6690391459074734E-2</v>
      </c>
      <c r="L51" s="20">
        <f t="shared" si="5"/>
        <v>1.6423357664233508E-2</v>
      </c>
      <c r="M51" s="20">
        <f t="shared" si="5"/>
        <v>8.389261744966443E-3</v>
      </c>
      <c r="N51" s="20">
        <f t="shared" si="5"/>
        <v>1.981230448383724E-2</v>
      </c>
      <c r="O51" s="20">
        <f t="shared" si="5"/>
        <v>1.7191977077364547E-3</v>
      </c>
      <c r="P51" s="20">
        <f t="shared" si="5"/>
        <v>4.9153468050246079E-3</v>
      </c>
      <c r="Q51" s="20">
        <f t="shared" si="5"/>
        <v>8.1159420289855407E-3</v>
      </c>
    </row>
    <row r="52" spans="2:17" x14ac:dyDescent="0.35">
      <c r="B52" s="9" t="s">
        <v>30</v>
      </c>
      <c r="C52" s="9">
        <v>2022</v>
      </c>
      <c r="D52" s="9" t="s">
        <v>42</v>
      </c>
      <c r="E52" s="20">
        <f t="shared" ref="E52:Q52" si="6">(E38-E37)/E37</f>
        <v>2.1316614420062732E-2</v>
      </c>
      <c r="F52" s="20">
        <f t="shared" si="6"/>
        <v>1.2738853503184686E-2</v>
      </c>
      <c r="G52" s="20">
        <f t="shared" si="6"/>
        <v>4.1592394533570328E-3</v>
      </c>
      <c r="H52" s="20">
        <f t="shared" si="6"/>
        <v>9.5294818344252193E-3</v>
      </c>
      <c r="I52" s="20">
        <f t="shared" si="6"/>
        <v>-2.0191822311963654E-2</v>
      </c>
      <c r="J52" s="20">
        <f t="shared" si="6"/>
        <v>-3.0141843971631173E-2</v>
      </c>
      <c r="K52" s="20">
        <f t="shared" si="6"/>
        <v>2.1952628538417167E-2</v>
      </c>
      <c r="L52" s="20">
        <f t="shared" si="6"/>
        <v>1.1370436864153236E-2</v>
      </c>
      <c r="M52" s="20">
        <f t="shared" si="6"/>
        <v>4.9916805324458757E-3</v>
      </c>
      <c r="N52" s="20">
        <f t="shared" si="6"/>
        <v>1.7893660531697341E-2</v>
      </c>
      <c r="O52" s="20">
        <f t="shared" si="6"/>
        <v>3.4324942791761686E-3</v>
      </c>
      <c r="P52" s="20">
        <f t="shared" si="6"/>
        <v>4.3478260869565834E-3</v>
      </c>
      <c r="Q52" s="20">
        <f t="shared" si="6"/>
        <v>9.2006900517538487E-3</v>
      </c>
    </row>
    <row r="53" spans="2:17" x14ac:dyDescent="0.35">
      <c r="B53" s="9" t="s">
        <v>30</v>
      </c>
      <c r="C53" s="9">
        <v>2022</v>
      </c>
      <c r="D53" s="9" t="s">
        <v>43</v>
      </c>
      <c r="E53" s="20">
        <f t="shared" ref="E53:Q53" si="7">(E39-E38)/E38</f>
        <v>1.1049723756905973E-2</v>
      </c>
      <c r="F53" s="20">
        <f t="shared" si="7"/>
        <v>1.0159651669085742E-2</v>
      </c>
      <c r="G53" s="20">
        <f t="shared" si="7"/>
        <v>7.6923076923077595E-3</v>
      </c>
      <c r="H53" s="20">
        <f t="shared" si="7"/>
        <v>8.2595870206490004E-3</v>
      </c>
      <c r="I53" s="20">
        <f t="shared" si="7"/>
        <v>-1.2879958784131892E-2</v>
      </c>
      <c r="J53" s="20">
        <f t="shared" si="7"/>
        <v>-1.1578305911029894E-2</v>
      </c>
      <c r="K53" s="20">
        <f t="shared" si="7"/>
        <v>4.4657998869417778E-2</v>
      </c>
      <c r="L53" s="20">
        <f t="shared" si="7"/>
        <v>4.1420118343194591E-3</v>
      </c>
      <c r="M53" s="20">
        <f t="shared" si="7"/>
        <v>2.4834437086092482E-3</v>
      </c>
      <c r="N53" s="20">
        <f t="shared" si="7"/>
        <v>1.2556504269211451E-2</v>
      </c>
      <c r="O53" s="20">
        <f t="shared" si="7"/>
        <v>2.2805017103763149E-3</v>
      </c>
      <c r="P53" s="20">
        <f t="shared" si="7"/>
        <v>4.3290043290042362E-3</v>
      </c>
      <c r="Q53" s="20">
        <f t="shared" si="7"/>
        <v>1.0826210826210859E-2</v>
      </c>
    </row>
    <row r="54" spans="2:17" x14ac:dyDescent="0.35">
      <c r="B54" s="9" t="s">
        <v>30</v>
      </c>
      <c r="C54" s="9">
        <v>2022</v>
      </c>
      <c r="D54" s="9" t="s">
        <v>45</v>
      </c>
      <c r="E54" s="20">
        <f t="shared" ref="E54:Q54" si="8">(E40-E39)/E39</f>
        <v>1.3357619914997069E-2</v>
      </c>
      <c r="F54" s="20">
        <f t="shared" si="8"/>
        <v>-7.6628352490422545E-3</v>
      </c>
      <c r="G54" s="20">
        <f t="shared" si="8"/>
        <v>5.8132706987668682E-2</v>
      </c>
      <c r="H54" s="20">
        <f t="shared" si="8"/>
        <v>8.1919251023990971E-3</v>
      </c>
      <c r="I54" s="20">
        <f t="shared" si="8"/>
        <v>1.2526096033402953E-2</v>
      </c>
      <c r="J54" s="20">
        <f t="shared" si="8"/>
        <v>-1.9112207151664579E-2</v>
      </c>
      <c r="K54" s="20">
        <f t="shared" si="8"/>
        <v>-7.1428571428571522E-2</v>
      </c>
      <c r="L54" s="20">
        <f t="shared" si="8"/>
        <v>2.9463759575721863E-3</v>
      </c>
      <c r="M54" s="20">
        <f t="shared" si="8"/>
        <v>3.3030553261767606E-3</v>
      </c>
      <c r="N54" s="20">
        <f t="shared" si="8"/>
        <v>1.5873015873015959E-2</v>
      </c>
      <c r="O54" s="20">
        <f t="shared" si="8"/>
        <v>3.412969283276418E-3</v>
      </c>
      <c r="P54" s="20">
        <f t="shared" si="8"/>
        <v>7.0043103448276479E-3</v>
      </c>
      <c r="Q54" s="20">
        <f t="shared" si="8"/>
        <v>-4.5095828635851824E-3</v>
      </c>
    </row>
    <row r="55" spans="2:17" x14ac:dyDescent="0.35">
      <c r="B55" s="9" t="s">
        <v>30</v>
      </c>
      <c r="C55" s="9">
        <v>2022</v>
      </c>
      <c r="D55" s="9" t="s">
        <v>46</v>
      </c>
      <c r="E55" s="20">
        <f t="shared" ref="E55:Q55" si="9">(E41-E40)/E40</f>
        <v>1.1384062312762167E-2</v>
      </c>
      <c r="F55" s="20">
        <f t="shared" si="9"/>
        <v>-1.4478764478763656E-3</v>
      </c>
      <c r="G55" s="20">
        <f t="shared" si="9"/>
        <v>4.9389567147613798E-2</v>
      </c>
      <c r="H55" s="20">
        <f t="shared" si="9"/>
        <v>6.3842135809634021E-3</v>
      </c>
      <c r="I55" s="20">
        <f t="shared" si="9"/>
        <v>-5.1546391752574393E-4</v>
      </c>
      <c r="J55" s="20">
        <f t="shared" si="9"/>
        <v>-1.5084852294154657E-2</v>
      </c>
      <c r="K55" s="20">
        <f t="shared" si="9"/>
        <v>-0.12470862470862475</v>
      </c>
      <c r="L55" s="20">
        <f t="shared" si="9"/>
        <v>1.7626321974148729E-3</v>
      </c>
      <c r="M55" s="20">
        <f t="shared" si="9"/>
        <v>-2.4691358024691123E-3</v>
      </c>
      <c r="N55" s="20">
        <f t="shared" si="9"/>
        <v>1.3183593749999944E-2</v>
      </c>
      <c r="O55" s="20">
        <f t="shared" si="9"/>
        <v>2.2675736961451569E-3</v>
      </c>
      <c r="P55" s="20">
        <f t="shared" si="9"/>
        <v>4.2803638309255373E-3</v>
      </c>
      <c r="Q55" s="20">
        <f t="shared" si="9"/>
        <v>-1.2457531143827796E-2</v>
      </c>
    </row>
    <row r="56" spans="2:17" x14ac:dyDescent="0.35">
      <c r="B56" s="9" t="s">
        <v>30</v>
      </c>
      <c r="C56" s="9">
        <v>2023</v>
      </c>
      <c r="D56" s="9" t="s">
        <v>31</v>
      </c>
      <c r="E56" s="20">
        <f t="shared" ref="E56:Q56" si="10">(E42-E41)/E41</f>
        <v>3.0805687203791399E-2</v>
      </c>
      <c r="F56" s="20">
        <f t="shared" si="10"/>
        <v>6.7665538907685143E-3</v>
      </c>
      <c r="G56" s="20">
        <f t="shared" si="10"/>
        <v>2.009518773135913E-2</v>
      </c>
      <c r="H56" s="20">
        <f t="shared" si="10"/>
        <v>5.1903114186851538E-3</v>
      </c>
      <c r="I56" s="20">
        <f t="shared" si="10"/>
        <v>-6.7044868488912394E-3</v>
      </c>
      <c r="J56" s="20">
        <f t="shared" si="10"/>
        <v>-2.5526483726865173E-3</v>
      </c>
      <c r="K56" s="20">
        <f t="shared" si="10"/>
        <v>-4.8601864181091768E-2</v>
      </c>
      <c r="L56" s="20">
        <f t="shared" si="10"/>
        <v>1.173020527859171E-3</v>
      </c>
      <c r="M56" s="20">
        <f t="shared" si="10"/>
        <v>-7.4257425742574722E-3</v>
      </c>
      <c r="N56" s="20">
        <f t="shared" si="10"/>
        <v>1.4457831325301205E-2</v>
      </c>
      <c r="O56" s="20">
        <f t="shared" si="10"/>
        <v>5.6561085972847464E-4</v>
      </c>
      <c r="P56" s="20">
        <f t="shared" si="10"/>
        <v>4.2621204049014989E-3</v>
      </c>
      <c r="Q56" s="20">
        <f t="shared" si="10"/>
        <v>3.4403669724770315E-3</v>
      </c>
    </row>
    <row r="57" spans="2:17" x14ac:dyDescent="0.35">
      <c r="B57" s="9" t="s">
        <v>30</v>
      </c>
      <c r="C57" s="9">
        <v>2023</v>
      </c>
      <c r="D57" s="9" t="s">
        <v>35</v>
      </c>
      <c r="E57" s="20">
        <f t="shared" ref="E57:Q57" si="11">(E43-E42)/E42</f>
        <v>1.1494252873562566E-3</v>
      </c>
      <c r="F57" s="20">
        <f t="shared" si="11"/>
        <v>-1.4882381180989066E-2</v>
      </c>
      <c r="G57" s="20">
        <f t="shared" si="11"/>
        <v>-9.8496630378434424E-2</v>
      </c>
      <c r="H57" s="20">
        <f t="shared" si="11"/>
        <v>1.5490533562822654E-2</v>
      </c>
      <c r="I57" s="20">
        <f t="shared" si="11"/>
        <v>-4.7767393561786026E-2</v>
      </c>
      <c r="J57" s="20">
        <f t="shared" si="11"/>
        <v>6.973768394113869E-2</v>
      </c>
      <c r="K57" s="20">
        <f t="shared" si="11"/>
        <v>-1.3995801259622112E-2</v>
      </c>
      <c r="L57" s="20">
        <f t="shared" si="11"/>
        <v>-1.7574692442881251E-3</v>
      </c>
      <c r="M57" s="20">
        <f t="shared" si="11"/>
        <v>-9.9750623441396749E-3</v>
      </c>
      <c r="N57" s="20">
        <f t="shared" si="11"/>
        <v>7.6009501187648187E-3</v>
      </c>
      <c r="O57" s="20">
        <f t="shared" si="11"/>
        <v>3.9570378745053059E-3</v>
      </c>
      <c r="P57" s="20">
        <f t="shared" si="11"/>
        <v>7.4270557029178022E-3</v>
      </c>
      <c r="Q57" s="20">
        <f t="shared" si="11"/>
        <v>-1.1428571428570779E-3</v>
      </c>
    </row>
    <row r="58" spans="2:17" x14ac:dyDescent="0.35">
      <c r="B58" s="9" t="s">
        <v>30</v>
      </c>
      <c r="C58" s="9">
        <v>2023</v>
      </c>
      <c r="D58" s="9" t="s">
        <v>36</v>
      </c>
      <c r="E58" s="20">
        <f t="shared" ref="E58:Q58" si="12">(E44-E43)/E43</f>
        <v>5.7405281285891356E-4</v>
      </c>
      <c r="F58" s="20">
        <f t="shared" si="12"/>
        <v>0</v>
      </c>
      <c r="G58" s="20">
        <f t="shared" si="12"/>
        <v>0</v>
      </c>
      <c r="H58" s="20">
        <f t="shared" si="12"/>
        <v>0</v>
      </c>
      <c r="I58" s="20">
        <f t="shared" si="12"/>
        <v>-5.4525627044707916E-4</v>
      </c>
      <c r="J58" s="20">
        <f t="shared" si="12"/>
        <v>0</v>
      </c>
      <c r="K58" s="20">
        <f t="shared" si="12"/>
        <v>0</v>
      </c>
      <c r="L58" s="20">
        <f t="shared" si="12"/>
        <v>5.8685446009386333E-4</v>
      </c>
      <c r="M58" s="20">
        <f t="shared" si="12"/>
        <v>0</v>
      </c>
      <c r="N58" s="20">
        <f t="shared" si="12"/>
        <v>0</v>
      </c>
      <c r="O58" s="20">
        <f t="shared" si="12"/>
        <v>0</v>
      </c>
      <c r="P58" s="20">
        <f t="shared" si="12"/>
        <v>0</v>
      </c>
      <c r="Q58" s="20">
        <f t="shared" si="12"/>
        <v>0</v>
      </c>
    </row>
    <row r="59" spans="2:17" x14ac:dyDescent="0.35">
      <c r="B59" s="9" t="s">
        <v>30</v>
      </c>
      <c r="C59" s="9">
        <v>2023</v>
      </c>
      <c r="D59" s="9" t="s">
        <v>37</v>
      </c>
      <c r="E59" s="20">
        <f t="shared" ref="E59:Q59" si="13">(E45-E44)/E44</f>
        <v>-5.737234652897303E-3</v>
      </c>
      <c r="F59" s="20">
        <f t="shared" si="13"/>
        <v>8.2846003898636306E-3</v>
      </c>
      <c r="G59" s="20">
        <f t="shared" si="13"/>
        <v>-3.4502587694077054E-2</v>
      </c>
      <c r="H59" s="20">
        <f t="shared" si="13"/>
        <v>6.7796610169490882E-3</v>
      </c>
      <c r="I59" s="20">
        <f t="shared" si="13"/>
        <v>-2.61865793780688E-2</v>
      </c>
      <c r="J59" s="20">
        <f t="shared" si="13"/>
        <v>3.8875598086124404E-2</v>
      </c>
      <c r="K59" s="20">
        <f t="shared" si="13"/>
        <v>1.3484740951029138E-2</v>
      </c>
      <c r="L59" s="20">
        <f t="shared" si="13"/>
        <v>1.3489736070381298E-2</v>
      </c>
      <c r="M59" s="20">
        <f t="shared" si="13"/>
        <v>1.0915197313182296E-2</v>
      </c>
      <c r="N59" s="20">
        <f t="shared" si="13"/>
        <v>1.6030174446016059E-2</v>
      </c>
      <c r="O59" s="20">
        <f t="shared" si="13"/>
        <v>3.3783783783783465E-3</v>
      </c>
      <c r="P59" s="20">
        <f t="shared" si="13"/>
        <v>3.1595576619273002E-3</v>
      </c>
      <c r="Q59" s="20">
        <f t="shared" si="13"/>
        <v>4.0045766590388367E-3</v>
      </c>
    </row>
    <row r="60" spans="2:17" x14ac:dyDescent="0.35">
      <c r="B60" s="9" t="s">
        <v>30</v>
      </c>
      <c r="C60" s="9">
        <v>2023</v>
      </c>
      <c r="D60" s="9" t="s">
        <v>38</v>
      </c>
      <c r="E60" s="20">
        <f t="shared" ref="E60:Q60" si="14">(E46-E45)/E45</f>
        <v>-5.7703404500878666E-4</v>
      </c>
      <c r="F60" s="20">
        <f t="shared" si="14"/>
        <v>2.2232962783953574E-2</v>
      </c>
      <c r="G60" s="20">
        <f t="shared" si="14"/>
        <v>1.8463371054198895E-2</v>
      </c>
      <c r="H60" s="20">
        <f t="shared" si="14"/>
        <v>7.8563411896745549E-3</v>
      </c>
      <c r="I60" s="20">
        <f t="shared" si="14"/>
        <v>-2.913165266106436E-2</v>
      </c>
      <c r="J60" s="20">
        <f t="shared" si="14"/>
        <v>-2.7058146229130622E-2</v>
      </c>
      <c r="K60" s="20">
        <f t="shared" si="14"/>
        <v>4.1316526610644097E-2</v>
      </c>
      <c r="L60" s="20">
        <f t="shared" si="14"/>
        <v>1.2152777777777743E-2</v>
      </c>
      <c r="M60" s="20">
        <f t="shared" si="14"/>
        <v>1.2458471760797342E-2</v>
      </c>
      <c r="N60" s="20">
        <f t="shared" si="14"/>
        <v>2.5522041763341066E-2</v>
      </c>
      <c r="O60" s="20">
        <f t="shared" si="14"/>
        <v>2.8058361391694727E-3</v>
      </c>
      <c r="P60" s="20">
        <f t="shared" si="14"/>
        <v>3.1496062992125685E-3</v>
      </c>
      <c r="Q60" s="20">
        <f t="shared" si="14"/>
        <v>7.4074074074074719E-3</v>
      </c>
    </row>
    <row r="61" spans="2:17" x14ac:dyDescent="0.35">
      <c r="B61" s="52" t="s">
        <v>83</v>
      </c>
      <c r="C61" s="52"/>
      <c r="D61" s="52"/>
      <c r="E61" s="21">
        <f>SUM(E49:E60)</f>
        <v>0.12601803352788893</v>
      </c>
      <c r="F61" s="21">
        <f t="shared" ref="F61" si="15">SUM(F49:F60)</f>
        <v>-1.3415927239515419E-2</v>
      </c>
      <c r="G61" s="21">
        <f t="shared" ref="G61" si="16">SUM(G49:G60)</f>
        <v>6.9027470519994569E-2</v>
      </c>
      <c r="H61" s="21">
        <f t="shared" ref="H61" si="17">SUM(H49:H60)</f>
        <v>8.7604842900340665E-2</v>
      </c>
      <c r="I61" s="21">
        <f t="shared" ref="I61" si="18">SUM(I49:I60)</f>
        <v>-0.18860073732493318</v>
      </c>
      <c r="J61" s="21">
        <f t="shared" ref="J61" si="19">SUM(J49:J60)</f>
        <v>1.0550729170309782E-2</v>
      </c>
      <c r="K61" s="21">
        <f t="shared" ref="K61" si="20">SUM(K49:K60)</f>
        <v>-5.9844646584606448E-2</v>
      </c>
      <c r="L61" s="21">
        <f t="shared" ref="L61" si="21">SUM(L49:L60)</f>
        <v>5.8650424856599249E-2</v>
      </c>
      <c r="M61" s="21">
        <f t="shared" ref="M61" si="22">SUM(M49:M60)</f>
        <v>2.5192886014239267E-2</v>
      </c>
      <c r="N61" s="21">
        <f t="shared" ref="N61" si="23">SUM(N49:N60)</f>
        <v>0.17060794533039508</v>
      </c>
      <c r="O61" s="21">
        <f t="shared" ref="O61" si="24">SUM(O49:O60)</f>
        <v>3.131543042249578E-2</v>
      </c>
      <c r="P61" s="21">
        <f t="shared" ref="P61" si="25">SUM(P49:P60)</f>
        <v>5.7787078677428043E-2</v>
      </c>
      <c r="Q61" s="21">
        <f t="shared" ref="Q61" si="26">SUM(Q49:Q60)</f>
        <v>3.48329506981448E-2</v>
      </c>
    </row>
    <row r="64" spans="2:17" x14ac:dyDescent="0.35">
      <c r="B64" s="18" t="s">
        <v>0</v>
      </c>
      <c r="C64" s="18" t="s">
        <v>1</v>
      </c>
      <c r="D64" s="18" t="s">
        <v>2</v>
      </c>
      <c r="E64" s="19" t="s">
        <v>3</v>
      </c>
      <c r="F64" s="19" t="s">
        <v>4</v>
      </c>
      <c r="G64" s="19" t="s">
        <v>5</v>
      </c>
      <c r="H64" s="19" t="s">
        <v>6</v>
      </c>
      <c r="I64" s="19" t="s">
        <v>7</v>
      </c>
      <c r="J64" s="19" t="s">
        <v>8</v>
      </c>
      <c r="K64" s="19" t="s">
        <v>9</v>
      </c>
      <c r="L64" s="19" t="s">
        <v>10</v>
      </c>
      <c r="M64" s="19" t="s">
        <v>11</v>
      </c>
      <c r="N64" s="19" t="s">
        <v>12</v>
      </c>
      <c r="O64" s="19" t="s">
        <v>13</v>
      </c>
      <c r="P64" s="19" t="s">
        <v>14</v>
      </c>
      <c r="Q64" s="19" t="s">
        <v>15</v>
      </c>
    </row>
    <row r="65" spans="2:17" x14ac:dyDescent="0.35">
      <c r="B65" s="9" t="s">
        <v>33</v>
      </c>
      <c r="C65" s="9">
        <v>2022</v>
      </c>
      <c r="D65" s="9" t="s">
        <v>38</v>
      </c>
      <c r="E65" s="9">
        <v>156.69999999999999</v>
      </c>
      <c r="F65" s="9">
        <v>221.2</v>
      </c>
      <c r="G65" s="9">
        <v>164.1</v>
      </c>
      <c r="H65" s="9">
        <v>165.4</v>
      </c>
      <c r="I65" s="9">
        <v>189.5</v>
      </c>
      <c r="J65" s="9">
        <v>174.5</v>
      </c>
      <c r="K65" s="9">
        <v>203.2</v>
      </c>
      <c r="L65" s="9">
        <v>164.1</v>
      </c>
      <c r="M65" s="9">
        <v>121.2</v>
      </c>
      <c r="N65" s="9">
        <v>181.4</v>
      </c>
      <c r="O65" s="9">
        <v>158.5</v>
      </c>
      <c r="P65" s="9">
        <v>184.9</v>
      </c>
      <c r="Q65" s="9">
        <v>177.5</v>
      </c>
    </row>
    <row r="66" spans="2:17" x14ac:dyDescent="0.35">
      <c r="B66" s="9" t="s">
        <v>33</v>
      </c>
      <c r="C66" s="9">
        <v>2022</v>
      </c>
      <c r="D66" s="9" t="s">
        <v>39</v>
      </c>
      <c r="E66" s="9">
        <v>157.5</v>
      </c>
      <c r="F66" s="9">
        <v>223.4</v>
      </c>
      <c r="G66" s="9">
        <v>172.8</v>
      </c>
      <c r="H66" s="9">
        <v>166.4</v>
      </c>
      <c r="I66" s="9">
        <v>188.6</v>
      </c>
      <c r="J66" s="9">
        <v>174.1</v>
      </c>
      <c r="K66" s="9">
        <v>211.5</v>
      </c>
      <c r="L66" s="9">
        <v>163.6</v>
      </c>
      <c r="M66" s="9">
        <v>121.4</v>
      </c>
      <c r="N66" s="9">
        <v>183.5</v>
      </c>
      <c r="O66" s="9">
        <v>159.1</v>
      </c>
      <c r="P66" s="9">
        <v>186.3</v>
      </c>
      <c r="Q66" s="9">
        <v>179.3</v>
      </c>
    </row>
    <row r="67" spans="2:17" x14ac:dyDescent="0.35">
      <c r="B67" s="9" t="s">
        <v>33</v>
      </c>
      <c r="C67" s="9">
        <v>2022</v>
      </c>
      <c r="D67" s="9" t="s">
        <v>40</v>
      </c>
      <c r="E67" s="9">
        <v>159.30000000000001</v>
      </c>
      <c r="F67" s="9">
        <v>217.1</v>
      </c>
      <c r="G67" s="9">
        <v>176.6</v>
      </c>
      <c r="H67" s="9">
        <v>167.1</v>
      </c>
      <c r="I67" s="9">
        <v>184.8</v>
      </c>
      <c r="J67" s="9">
        <v>179.5</v>
      </c>
      <c r="K67" s="9">
        <v>208.5</v>
      </c>
      <c r="L67" s="9">
        <v>164</v>
      </c>
      <c r="M67" s="9">
        <v>121.5</v>
      </c>
      <c r="N67" s="9">
        <v>186.3</v>
      </c>
      <c r="O67" s="9">
        <v>159.80000000000001</v>
      </c>
      <c r="P67" s="9">
        <v>187.7</v>
      </c>
      <c r="Q67" s="9">
        <v>179.4</v>
      </c>
    </row>
    <row r="68" spans="2:17" x14ac:dyDescent="0.35">
      <c r="B68" s="9" t="s">
        <v>33</v>
      </c>
      <c r="C68" s="9">
        <v>2022</v>
      </c>
      <c r="D68" s="9" t="s">
        <v>41</v>
      </c>
      <c r="E68" s="9">
        <v>162.1</v>
      </c>
      <c r="F68" s="9">
        <v>210.9</v>
      </c>
      <c r="G68" s="9">
        <v>170.6</v>
      </c>
      <c r="H68" s="9">
        <v>168.4</v>
      </c>
      <c r="I68" s="9">
        <v>182.5</v>
      </c>
      <c r="J68" s="9">
        <v>177.1</v>
      </c>
      <c r="K68" s="9">
        <v>213.1</v>
      </c>
      <c r="L68" s="9">
        <v>167.3</v>
      </c>
      <c r="M68" s="9">
        <v>122.2</v>
      </c>
      <c r="N68" s="9">
        <v>189.7</v>
      </c>
      <c r="O68" s="9">
        <v>160.5</v>
      </c>
      <c r="P68" s="9">
        <v>188.9</v>
      </c>
      <c r="Q68" s="9">
        <v>180.4</v>
      </c>
    </row>
    <row r="69" spans="2:17" x14ac:dyDescent="0.35">
      <c r="B69" s="9" t="s">
        <v>33</v>
      </c>
      <c r="C69" s="9">
        <v>2022</v>
      </c>
      <c r="D69" s="9" t="s">
        <v>42</v>
      </c>
      <c r="E69" s="9">
        <v>164.9</v>
      </c>
      <c r="F69" s="9">
        <v>213.7</v>
      </c>
      <c r="G69" s="9">
        <v>170.9</v>
      </c>
      <c r="H69" s="9">
        <v>170.1</v>
      </c>
      <c r="I69" s="9">
        <v>179.3</v>
      </c>
      <c r="J69" s="9">
        <v>167.5</v>
      </c>
      <c r="K69" s="9">
        <v>220.8</v>
      </c>
      <c r="L69" s="9">
        <v>169.2</v>
      </c>
      <c r="M69" s="9">
        <v>123.1</v>
      </c>
      <c r="N69" s="9">
        <v>193.6</v>
      </c>
      <c r="O69" s="9">
        <v>161.1</v>
      </c>
      <c r="P69" s="9">
        <v>190.4</v>
      </c>
      <c r="Q69" s="9">
        <v>181.8</v>
      </c>
    </row>
    <row r="70" spans="2:17" x14ac:dyDescent="0.35">
      <c r="B70" s="9" t="s">
        <v>33</v>
      </c>
      <c r="C70" s="9">
        <v>2022</v>
      </c>
      <c r="D70" s="9" t="s">
        <v>43</v>
      </c>
      <c r="E70" s="9">
        <v>166.4</v>
      </c>
      <c r="F70" s="9">
        <v>214.9</v>
      </c>
      <c r="G70" s="9">
        <v>171.9</v>
      </c>
      <c r="H70" s="9">
        <v>171</v>
      </c>
      <c r="I70" s="9">
        <v>177.7</v>
      </c>
      <c r="J70" s="9">
        <v>165.7</v>
      </c>
      <c r="K70" s="9">
        <v>228.6</v>
      </c>
      <c r="L70" s="9">
        <v>169.9</v>
      </c>
      <c r="M70" s="9">
        <v>123.4</v>
      </c>
      <c r="N70" s="9">
        <v>196.4</v>
      </c>
      <c r="O70" s="9">
        <v>161.6</v>
      </c>
      <c r="P70" s="9">
        <v>191.5</v>
      </c>
      <c r="Q70" s="9">
        <v>183.3</v>
      </c>
    </row>
    <row r="71" spans="2:17" x14ac:dyDescent="0.35">
      <c r="B71" s="9" t="s">
        <v>33</v>
      </c>
      <c r="C71" s="9">
        <v>2022</v>
      </c>
      <c r="D71" s="9" t="s">
        <v>45</v>
      </c>
      <c r="E71" s="9">
        <v>168.4</v>
      </c>
      <c r="F71" s="9">
        <v>213.4</v>
      </c>
      <c r="G71" s="9">
        <v>183.2</v>
      </c>
      <c r="H71" s="9">
        <v>172.3</v>
      </c>
      <c r="I71" s="9">
        <v>180</v>
      </c>
      <c r="J71" s="9">
        <v>162.6</v>
      </c>
      <c r="K71" s="9">
        <v>205.5</v>
      </c>
      <c r="L71" s="9">
        <v>171</v>
      </c>
      <c r="M71" s="9">
        <v>123.4</v>
      </c>
      <c r="N71" s="9">
        <v>198.8</v>
      </c>
      <c r="O71" s="9">
        <v>162.1</v>
      </c>
      <c r="P71" s="9">
        <v>192.4</v>
      </c>
      <c r="Q71" s="9">
        <v>181.3</v>
      </c>
    </row>
    <row r="72" spans="2:17" x14ac:dyDescent="0.35">
      <c r="B72" s="9" t="s">
        <v>33</v>
      </c>
      <c r="C72" s="9">
        <v>2022</v>
      </c>
      <c r="D72" s="9" t="s">
        <v>46</v>
      </c>
      <c r="E72" s="9">
        <v>170.2</v>
      </c>
      <c r="F72" s="9">
        <v>212.9</v>
      </c>
      <c r="G72" s="9">
        <v>191.9</v>
      </c>
      <c r="H72" s="9">
        <v>173.9</v>
      </c>
      <c r="I72" s="9">
        <v>179.1</v>
      </c>
      <c r="J72" s="9">
        <v>159.5</v>
      </c>
      <c r="K72" s="9">
        <v>178.7</v>
      </c>
      <c r="L72" s="9">
        <v>171.3</v>
      </c>
      <c r="M72" s="9">
        <v>123.1</v>
      </c>
      <c r="N72" s="9">
        <v>200.5</v>
      </c>
      <c r="O72" s="9">
        <v>162.80000000000001</v>
      </c>
      <c r="P72" s="9">
        <v>193.3</v>
      </c>
      <c r="Q72" s="9">
        <v>178.6</v>
      </c>
    </row>
    <row r="73" spans="2:17" x14ac:dyDescent="0.35">
      <c r="B73" s="9" t="s">
        <v>33</v>
      </c>
      <c r="C73" s="9">
        <v>2023</v>
      </c>
      <c r="D73" s="9" t="s">
        <v>31</v>
      </c>
      <c r="E73" s="9">
        <v>173.3</v>
      </c>
      <c r="F73" s="9">
        <v>215.2</v>
      </c>
      <c r="G73" s="9">
        <v>197</v>
      </c>
      <c r="H73" s="9">
        <v>175.2</v>
      </c>
      <c r="I73" s="9">
        <v>178</v>
      </c>
      <c r="J73" s="9">
        <v>160.5</v>
      </c>
      <c r="K73" s="9">
        <v>175.3</v>
      </c>
      <c r="L73" s="9">
        <v>171.2</v>
      </c>
      <c r="M73" s="9">
        <v>122.7</v>
      </c>
      <c r="N73" s="9">
        <v>204.3</v>
      </c>
      <c r="O73" s="9">
        <v>163.69999999999999</v>
      </c>
      <c r="P73" s="9">
        <v>194.3</v>
      </c>
      <c r="Q73" s="9">
        <v>179.5</v>
      </c>
    </row>
    <row r="74" spans="2:17" x14ac:dyDescent="0.35">
      <c r="B74" s="9" t="s">
        <v>33</v>
      </c>
      <c r="C74" s="9">
        <v>2023</v>
      </c>
      <c r="D74" s="9" t="s">
        <v>35</v>
      </c>
      <c r="E74" s="9">
        <v>174.7</v>
      </c>
      <c r="F74" s="9">
        <v>212.2</v>
      </c>
      <c r="G74" s="9">
        <v>177.2</v>
      </c>
      <c r="H74" s="9">
        <v>177.9</v>
      </c>
      <c r="I74" s="9">
        <v>172.2</v>
      </c>
      <c r="J74" s="9">
        <v>172.1</v>
      </c>
      <c r="K74" s="9">
        <v>175.8</v>
      </c>
      <c r="L74" s="9">
        <v>172.2</v>
      </c>
      <c r="M74" s="9">
        <v>121.9</v>
      </c>
      <c r="N74" s="9">
        <v>204.8</v>
      </c>
      <c r="O74" s="9">
        <v>164.9</v>
      </c>
      <c r="P74" s="9">
        <v>196.6</v>
      </c>
      <c r="Q74" s="9">
        <v>180.7</v>
      </c>
    </row>
    <row r="75" spans="2:17" x14ac:dyDescent="0.35">
      <c r="B75" s="9" t="s">
        <v>33</v>
      </c>
      <c r="C75" s="9">
        <v>2023</v>
      </c>
      <c r="D75" s="9" t="s">
        <v>36</v>
      </c>
      <c r="E75" s="9">
        <v>174.7</v>
      </c>
      <c r="F75" s="9">
        <v>212.2</v>
      </c>
      <c r="G75" s="9">
        <v>177.2</v>
      </c>
      <c r="H75" s="9">
        <v>177.9</v>
      </c>
      <c r="I75" s="9">
        <v>172.2</v>
      </c>
      <c r="J75" s="9">
        <v>172.1</v>
      </c>
      <c r="K75" s="9">
        <v>175.9</v>
      </c>
      <c r="L75" s="9">
        <v>172.2</v>
      </c>
      <c r="M75" s="9">
        <v>121.9</v>
      </c>
      <c r="N75" s="9">
        <v>204.8</v>
      </c>
      <c r="O75" s="9">
        <v>164.9</v>
      </c>
      <c r="P75" s="9">
        <v>196.6</v>
      </c>
      <c r="Q75" s="9">
        <v>180.8</v>
      </c>
    </row>
    <row r="76" spans="2:17" x14ac:dyDescent="0.35">
      <c r="B76" s="9" t="s">
        <v>33</v>
      </c>
      <c r="C76" s="9">
        <v>2023</v>
      </c>
      <c r="D76" s="9" t="s">
        <v>37</v>
      </c>
      <c r="E76" s="9">
        <v>174.8</v>
      </c>
      <c r="F76" s="9">
        <v>213.7</v>
      </c>
      <c r="G76" s="9">
        <v>172.4</v>
      </c>
      <c r="H76" s="9">
        <v>178.8</v>
      </c>
      <c r="I76" s="9">
        <v>168.7</v>
      </c>
      <c r="J76" s="9">
        <v>179.2</v>
      </c>
      <c r="K76" s="9">
        <v>179.9</v>
      </c>
      <c r="L76" s="9">
        <v>174.7</v>
      </c>
      <c r="M76" s="9">
        <v>123.1</v>
      </c>
      <c r="N76" s="9">
        <v>207.8</v>
      </c>
      <c r="O76" s="9">
        <v>165.5</v>
      </c>
      <c r="P76" s="9">
        <v>197</v>
      </c>
      <c r="Q76" s="9">
        <v>182.1</v>
      </c>
    </row>
    <row r="77" spans="2:17" x14ac:dyDescent="0.35">
      <c r="B77" s="9" t="s">
        <v>33</v>
      </c>
      <c r="C77" s="9">
        <v>2023</v>
      </c>
      <c r="D77" s="9" t="s">
        <v>38</v>
      </c>
      <c r="E77" s="9">
        <v>174.7</v>
      </c>
      <c r="F77" s="9">
        <v>219.4</v>
      </c>
      <c r="G77" s="9">
        <v>176.7</v>
      </c>
      <c r="H77" s="9">
        <v>179.4</v>
      </c>
      <c r="I77" s="9">
        <v>164.4</v>
      </c>
      <c r="J77" s="9">
        <v>175.8</v>
      </c>
      <c r="K77" s="9">
        <v>185</v>
      </c>
      <c r="L77" s="9">
        <v>176.9</v>
      </c>
      <c r="M77" s="9">
        <v>124.2</v>
      </c>
      <c r="N77" s="9">
        <v>211.9</v>
      </c>
      <c r="O77" s="9">
        <v>165.9</v>
      </c>
      <c r="P77" s="9">
        <v>197.7</v>
      </c>
      <c r="Q77" s="9">
        <v>183.1</v>
      </c>
    </row>
    <row r="79" spans="2:17" x14ac:dyDescent="0.35">
      <c r="B79" s="18" t="s">
        <v>0</v>
      </c>
      <c r="C79" s="18" t="s">
        <v>1</v>
      </c>
      <c r="D79" s="18" t="s">
        <v>2</v>
      </c>
      <c r="E79" s="19" t="s">
        <v>3</v>
      </c>
      <c r="F79" s="19" t="s">
        <v>4</v>
      </c>
      <c r="G79" s="19" t="s">
        <v>5</v>
      </c>
      <c r="H79" s="19" t="s">
        <v>6</v>
      </c>
      <c r="I79" s="19" t="s">
        <v>7</v>
      </c>
      <c r="J79" s="19" t="s">
        <v>8</v>
      </c>
      <c r="K79" s="19" t="s">
        <v>9</v>
      </c>
      <c r="L79" s="19" t="s">
        <v>10</v>
      </c>
      <c r="M79" s="19" t="s">
        <v>11</v>
      </c>
      <c r="N79" s="19" t="s">
        <v>12</v>
      </c>
      <c r="O79" s="19" t="s">
        <v>13</v>
      </c>
      <c r="P79" s="19" t="s">
        <v>14</v>
      </c>
      <c r="Q79" s="19" t="s">
        <v>15</v>
      </c>
    </row>
    <row r="80" spans="2:17" x14ac:dyDescent="0.35">
      <c r="B80" s="9" t="s">
        <v>33</v>
      </c>
      <c r="C80" s="9">
        <v>2022</v>
      </c>
      <c r="D80" s="9" t="s">
        <v>39</v>
      </c>
      <c r="E80" s="20">
        <f t="shared" ref="E80:Q80" si="27">(E66-E65)/E65</f>
        <v>5.105296745373398E-3</v>
      </c>
      <c r="F80" s="20">
        <f t="shared" si="27"/>
        <v>9.9457504520796443E-3</v>
      </c>
      <c r="G80" s="20">
        <f t="shared" si="27"/>
        <v>5.3016453382084203E-2</v>
      </c>
      <c r="H80" s="20">
        <f t="shared" si="27"/>
        <v>6.0459492140266021E-3</v>
      </c>
      <c r="I80" s="20">
        <f t="shared" si="27"/>
        <v>-4.74934036939317E-3</v>
      </c>
      <c r="J80" s="20">
        <f t="shared" si="27"/>
        <v>-2.2922636103152186E-3</v>
      </c>
      <c r="K80" s="20">
        <f t="shared" si="27"/>
        <v>4.0846456692913445E-2</v>
      </c>
      <c r="L80" s="20">
        <f t="shared" si="27"/>
        <v>-3.0469226081657527E-3</v>
      </c>
      <c r="M80" s="20">
        <f t="shared" si="27"/>
        <v>1.6501650165016736E-3</v>
      </c>
      <c r="N80" s="20">
        <f t="shared" si="27"/>
        <v>1.1576626240352779E-2</v>
      </c>
      <c r="O80" s="20">
        <f t="shared" si="27"/>
        <v>3.7854889589905003E-3</v>
      </c>
      <c r="P80" s="20">
        <f t="shared" si="27"/>
        <v>7.5716603569497328E-3</v>
      </c>
      <c r="Q80" s="20">
        <f t="shared" si="27"/>
        <v>1.0140845070422599E-2</v>
      </c>
    </row>
    <row r="81" spans="2:17" x14ac:dyDescent="0.35">
      <c r="B81" s="9" t="s">
        <v>33</v>
      </c>
      <c r="C81" s="9">
        <v>2022</v>
      </c>
      <c r="D81" s="9" t="s">
        <v>40</v>
      </c>
      <c r="E81" s="20">
        <f t="shared" ref="E81:Q81" si="28">(E67-E66)/E66</f>
        <v>1.1428571428571501E-2</v>
      </c>
      <c r="F81" s="20">
        <f t="shared" si="28"/>
        <v>-2.8200537153088682E-2</v>
      </c>
      <c r="G81" s="20">
        <f t="shared" si="28"/>
        <v>2.1990740740740641E-2</v>
      </c>
      <c r="H81" s="20">
        <f t="shared" si="28"/>
        <v>4.2067307692307005E-3</v>
      </c>
      <c r="I81" s="20">
        <f t="shared" si="28"/>
        <v>-2.014846235418867E-2</v>
      </c>
      <c r="J81" s="20">
        <f t="shared" si="28"/>
        <v>3.1016657093624389E-2</v>
      </c>
      <c r="K81" s="20">
        <f t="shared" si="28"/>
        <v>-1.4184397163120567E-2</v>
      </c>
      <c r="L81" s="20">
        <f t="shared" si="28"/>
        <v>2.4449877750611594E-3</v>
      </c>
      <c r="M81" s="20">
        <f t="shared" si="28"/>
        <v>8.2372322899501083E-4</v>
      </c>
      <c r="N81" s="20">
        <f t="shared" si="28"/>
        <v>1.5258855585831125E-2</v>
      </c>
      <c r="O81" s="20">
        <f t="shared" si="28"/>
        <v>4.3997485857952051E-3</v>
      </c>
      <c r="P81" s="20">
        <f t="shared" si="28"/>
        <v>7.514761137949421E-3</v>
      </c>
      <c r="Q81" s="20">
        <f t="shared" si="28"/>
        <v>5.5772448410482047E-4</v>
      </c>
    </row>
    <row r="82" spans="2:17" x14ac:dyDescent="0.35">
      <c r="B82" s="9" t="s">
        <v>33</v>
      </c>
      <c r="C82" s="9">
        <v>2022</v>
      </c>
      <c r="D82" s="9" t="s">
        <v>41</v>
      </c>
      <c r="E82" s="20">
        <f t="shared" ref="E82:Q82" si="29">(E68-E67)/E67</f>
        <v>1.7576898932831028E-2</v>
      </c>
      <c r="F82" s="20">
        <f t="shared" si="29"/>
        <v>-2.8558268079226113E-2</v>
      </c>
      <c r="G82" s="20">
        <f t="shared" si="29"/>
        <v>-3.3975084937712348E-2</v>
      </c>
      <c r="H82" s="20">
        <f t="shared" si="29"/>
        <v>7.7797725912627852E-3</v>
      </c>
      <c r="I82" s="20">
        <f t="shared" si="29"/>
        <v>-1.2445887445887507E-2</v>
      </c>
      <c r="J82" s="20">
        <f t="shared" si="29"/>
        <v>-1.3370473537604488E-2</v>
      </c>
      <c r="K82" s="20">
        <f t="shared" si="29"/>
        <v>2.206235011990405E-2</v>
      </c>
      <c r="L82" s="20">
        <f t="shared" si="29"/>
        <v>2.0121951219512265E-2</v>
      </c>
      <c r="M82" s="20">
        <f t="shared" si="29"/>
        <v>5.7613168724280073E-3</v>
      </c>
      <c r="N82" s="20">
        <f t="shared" si="29"/>
        <v>1.8250134192163054E-2</v>
      </c>
      <c r="O82" s="20">
        <f t="shared" si="29"/>
        <v>4.3804755944930451E-3</v>
      </c>
      <c r="P82" s="20">
        <f t="shared" si="29"/>
        <v>6.3931806073522493E-3</v>
      </c>
      <c r="Q82" s="20">
        <f t="shared" si="29"/>
        <v>5.5741360089186171E-3</v>
      </c>
    </row>
    <row r="83" spans="2:17" x14ac:dyDescent="0.35">
      <c r="B83" s="9" t="s">
        <v>33</v>
      </c>
      <c r="C83" s="9">
        <v>2022</v>
      </c>
      <c r="D83" s="9" t="s">
        <v>42</v>
      </c>
      <c r="E83" s="20">
        <f t="shared" ref="E83:Q83" si="30">(E69-E68)/E68</f>
        <v>1.7273288093769348E-2</v>
      </c>
      <c r="F83" s="20">
        <f t="shared" si="30"/>
        <v>1.3276434329065827E-2</v>
      </c>
      <c r="G83" s="20">
        <f t="shared" si="30"/>
        <v>1.7584994138335954E-3</v>
      </c>
      <c r="H83" s="20">
        <f t="shared" si="30"/>
        <v>1.0095011876484494E-2</v>
      </c>
      <c r="I83" s="20">
        <f t="shared" si="30"/>
        <v>-1.7534246575342402E-2</v>
      </c>
      <c r="J83" s="20">
        <f t="shared" si="30"/>
        <v>-5.4206662902315045E-2</v>
      </c>
      <c r="K83" s="20">
        <f t="shared" si="30"/>
        <v>3.6133270764899188E-2</v>
      </c>
      <c r="L83" s="20">
        <f t="shared" si="30"/>
        <v>1.1356843992827119E-2</v>
      </c>
      <c r="M83" s="20">
        <f t="shared" si="30"/>
        <v>7.3649754500817628E-3</v>
      </c>
      <c r="N83" s="20">
        <f t="shared" si="30"/>
        <v>2.0558777016341623E-2</v>
      </c>
      <c r="O83" s="20">
        <f t="shared" si="30"/>
        <v>3.7383177570093104E-3</v>
      </c>
      <c r="P83" s="20">
        <f t="shared" si="30"/>
        <v>7.9407093700370572E-3</v>
      </c>
      <c r="Q83" s="20">
        <f t="shared" si="30"/>
        <v>7.7605321507760849E-3</v>
      </c>
    </row>
    <row r="84" spans="2:17" x14ac:dyDescent="0.35">
      <c r="B84" s="9" t="s">
        <v>33</v>
      </c>
      <c r="C84" s="9">
        <v>2022</v>
      </c>
      <c r="D84" s="9" t="s">
        <v>43</v>
      </c>
      <c r="E84" s="20">
        <f t="shared" ref="E84:Q84" si="31">(E70-E69)/E69</f>
        <v>9.0964220739842318E-3</v>
      </c>
      <c r="F84" s="20">
        <f t="shared" si="31"/>
        <v>5.6153486195602113E-3</v>
      </c>
      <c r="G84" s="20">
        <f t="shared" si="31"/>
        <v>5.8513750731421883E-3</v>
      </c>
      <c r="H84" s="20">
        <f t="shared" si="31"/>
        <v>5.2910052910053245E-3</v>
      </c>
      <c r="I84" s="20">
        <f t="shared" si="31"/>
        <v>-8.9235917456777607E-3</v>
      </c>
      <c r="J84" s="20">
        <f t="shared" si="31"/>
        <v>-1.0746268656716487E-2</v>
      </c>
      <c r="K84" s="20">
        <f t="shared" si="31"/>
        <v>3.532608695652166E-2</v>
      </c>
      <c r="L84" s="20">
        <f t="shared" si="31"/>
        <v>4.1371158392436002E-3</v>
      </c>
      <c r="M84" s="20">
        <f t="shared" si="31"/>
        <v>2.4370430544273874E-3</v>
      </c>
      <c r="N84" s="20">
        <f t="shared" si="31"/>
        <v>1.4462809917355431E-2</v>
      </c>
      <c r="O84" s="20">
        <f t="shared" si="31"/>
        <v>3.1036623215394167E-3</v>
      </c>
      <c r="P84" s="20">
        <f t="shared" si="31"/>
        <v>5.7773109243697178E-3</v>
      </c>
      <c r="Q84" s="20">
        <f t="shared" si="31"/>
        <v>8.2508250825082501E-3</v>
      </c>
    </row>
    <row r="85" spans="2:17" x14ac:dyDescent="0.35">
      <c r="B85" s="9" t="s">
        <v>33</v>
      </c>
      <c r="C85" s="9">
        <v>2022</v>
      </c>
      <c r="D85" s="9" t="s">
        <v>45</v>
      </c>
      <c r="E85" s="20">
        <f t="shared" ref="E85:Q85" si="32">(E71-E70)/E70</f>
        <v>1.2019230769230768E-2</v>
      </c>
      <c r="F85" s="20">
        <f t="shared" si="32"/>
        <v>-6.9799906933457421E-3</v>
      </c>
      <c r="G85" s="20">
        <f t="shared" si="32"/>
        <v>6.5735892961023751E-2</v>
      </c>
      <c r="H85" s="20">
        <f t="shared" si="32"/>
        <v>7.6023391812866164E-3</v>
      </c>
      <c r="I85" s="20">
        <f t="shared" si="32"/>
        <v>1.2943162633652288E-2</v>
      </c>
      <c r="J85" s="20">
        <f t="shared" si="32"/>
        <v>-1.8708509354254645E-2</v>
      </c>
      <c r="K85" s="20">
        <f t="shared" si="32"/>
        <v>-0.10104986876640418</v>
      </c>
      <c r="L85" s="20">
        <f t="shared" si="32"/>
        <v>6.4743967039434629E-3</v>
      </c>
      <c r="M85" s="20">
        <f t="shared" si="32"/>
        <v>0</v>
      </c>
      <c r="N85" s="20">
        <f t="shared" si="32"/>
        <v>1.2219959266802473E-2</v>
      </c>
      <c r="O85" s="20">
        <f t="shared" si="32"/>
        <v>3.0940594059405942E-3</v>
      </c>
      <c r="P85" s="20">
        <f t="shared" si="32"/>
        <v>4.6997389033942858E-3</v>
      </c>
      <c r="Q85" s="20">
        <f t="shared" si="32"/>
        <v>-1.0911074740861974E-2</v>
      </c>
    </row>
    <row r="86" spans="2:17" x14ac:dyDescent="0.35">
      <c r="B86" s="9" t="s">
        <v>33</v>
      </c>
      <c r="C86" s="9">
        <v>2022</v>
      </c>
      <c r="D86" s="9" t="s">
        <v>46</v>
      </c>
      <c r="E86" s="20">
        <f t="shared" ref="E86:Q86" si="33">(E72-E71)/E71</f>
        <v>1.0688836104512963E-2</v>
      </c>
      <c r="F86" s="20">
        <f t="shared" si="33"/>
        <v>-2.3430178069353325E-3</v>
      </c>
      <c r="G86" s="20">
        <f t="shared" si="33"/>
        <v>4.7489082969432411E-2</v>
      </c>
      <c r="H86" s="20">
        <f t="shared" si="33"/>
        <v>9.286128845037692E-3</v>
      </c>
      <c r="I86" s="20">
        <f t="shared" si="33"/>
        <v>-5.0000000000000313E-3</v>
      </c>
      <c r="J86" s="20">
        <f t="shared" si="33"/>
        <v>-1.9065190651906486E-2</v>
      </c>
      <c r="K86" s="20">
        <f t="shared" si="33"/>
        <v>-0.1304136253041363</v>
      </c>
      <c r="L86" s="20">
        <f t="shared" si="33"/>
        <v>1.7543859649123471E-3</v>
      </c>
      <c r="M86" s="20">
        <f t="shared" si="33"/>
        <v>-2.4311183144247275E-3</v>
      </c>
      <c r="N86" s="20">
        <f t="shared" si="33"/>
        <v>8.5513078470824365E-3</v>
      </c>
      <c r="O86" s="20">
        <f t="shared" si="33"/>
        <v>4.3183220234424245E-3</v>
      </c>
      <c r="P86" s="20">
        <f t="shared" si="33"/>
        <v>4.6777546777547075E-3</v>
      </c>
      <c r="Q86" s="20">
        <f t="shared" si="33"/>
        <v>-1.4892443463872128E-2</v>
      </c>
    </row>
    <row r="87" spans="2:17" x14ac:dyDescent="0.35">
      <c r="B87" s="9" t="s">
        <v>33</v>
      </c>
      <c r="C87" s="9">
        <v>2023</v>
      </c>
      <c r="D87" s="9" t="s">
        <v>31</v>
      </c>
      <c r="E87" s="20">
        <f t="shared" ref="E87:Q87" si="34">(E73-E72)/E72</f>
        <v>1.821386603995313E-2</v>
      </c>
      <c r="F87" s="20">
        <f t="shared" si="34"/>
        <v>1.0803193987787613E-2</v>
      </c>
      <c r="G87" s="20">
        <f t="shared" si="34"/>
        <v>2.6576341844710756E-2</v>
      </c>
      <c r="H87" s="20">
        <f t="shared" si="34"/>
        <v>7.4755606670499301E-3</v>
      </c>
      <c r="I87" s="20">
        <f t="shared" si="34"/>
        <v>-6.1418202121719398E-3</v>
      </c>
      <c r="J87" s="20">
        <f t="shared" si="34"/>
        <v>6.269592476489028E-3</v>
      </c>
      <c r="K87" s="20">
        <f t="shared" si="34"/>
        <v>-1.9026301063234344E-2</v>
      </c>
      <c r="L87" s="20">
        <f t="shared" si="34"/>
        <v>-5.837711617047445E-4</v>
      </c>
      <c r="M87" s="20">
        <f t="shared" si="34"/>
        <v>-3.2493907392363241E-3</v>
      </c>
      <c r="N87" s="20">
        <f t="shared" si="34"/>
        <v>1.8952618453865394E-2</v>
      </c>
      <c r="O87" s="20">
        <f t="shared" si="34"/>
        <v>5.5282555282553884E-3</v>
      </c>
      <c r="P87" s="20">
        <f t="shared" si="34"/>
        <v>5.1733057423693739E-3</v>
      </c>
      <c r="Q87" s="20">
        <f t="shared" si="34"/>
        <v>5.0391937290033915E-3</v>
      </c>
    </row>
    <row r="88" spans="2:17" x14ac:dyDescent="0.35">
      <c r="B88" s="9" t="s">
        <v>33</v>
      </c>
      <c r="C88" s="9">
        <v>2023</v>
      </c>
      <c r="D88" s="9" t="s">
        <v>35</v>
      </c>
      <c r="E88" s="20">
        <f t="shared" ref="E88:Q88" si="35">(E74-E73)/E73</f>
        <v>8.078476630121045E-3</v>
      </c>
      <c r="F88" s="20">
        <f t="shared" si="35"/>
        <v>-1.3940520446096656E-2</v>
      </c>
      <c r="G88" s="20">
        <f t="shared" si="35"/>
        <v>-0.10050761421319802</v>
      </c>
      <c r="H88" s="20">
        <f t="shared" si="35"/>
        <v>1.5410958904109687E-2</v>
      </c>
      <c r="I88" s="20">
        <f t="shared" si="35"/>
        <v>-3.2584269662921411E-2</v>
      </c>
      <c r="J88" s="20">
        <f t="shared" si="35"/>
        <v>7.2274143302180655E-2</v>
      </c>
      <c r="K88" s="20">
        <f t="shared" si="35"/>
        <v>2.8522532800912721E-3</v>
      </c>
      <c r="L88" s="20">
        <f t="shared" si="35"/>
        <v>5.8411214953271035E-3</v>
      </c>
      <c r="M88" s="20">
        <f t="shared" si="35"/>
        <v>-6.5199674001629754E-3</v>
      </c>
      <c r="N88" s="20">
        <f t="shared" si="35"/>
        <v>2.4473813020068525E-3</v>
      </c>
      <c r="O88" s="20">
        <f t="shared" si="35"/>
        <v>7.3304825901039528E-3</v>
      </c>
      <c r="P88" s="20">
        <f t="shared" si="35"/>
        <v>1.1837364899639644E-2</v>
      </c>
      <c r="Q88" s="20">
        <f t="shared" si="35"/>
        <v>6.6852367688021649E-3</v>
      </c>
    </row>
    <row r="89" spans="2:17" x14ac:dyDescent="0.35">
      <c r="B89" s="9" t="s">
        <v>33</v>
      </c>
      <c r="C89" s="9">
        <v>2023</v>
      </c>
      <c r="D89" s="9" t="s">
        <v>36</v>
      </c>
      <c r="E89" s="20">
        <f t="shared" ref="E89:Q89" si="36">(E75-E74)/E74</f>
        <v>0</v>
      </c>
      <c r="F89" s="20">
        <f t="shared" si="36"/>
        <v>0</v>
      </c>
      <c r="G89" s="20">
        <f t="shared" si="36"/>
        <v>0</v>
      </c>
      <c r="H89" s="20">
        <f t="shared" si="36"/>
        <v>0</v>
      </c>
      <c r="I89" s="20">
        <f t="shared" si="36"/>
        <v>0</v>
      </c>
      <c r="J89" s="20">
        <f t="shared" si="36"/>
        <v>0</v>
      </c>
      <c r="K89" s="20">
        <f t="shared" si="36"/>
        <v>5.6882821387937608E-4</v>
      </c>
      <c r="L89" s="20">
        <f t="shared" si="36"/>
        <v>0</v>
      </c>
      <c r="M89" s="20">
        <f t="shared" si="36"/>
        <v>0</v>
      </c>
      <c r="N89" s="20">
        <f t="shared" si="36"/>
        <v>0</v>
      </c>
      <c r="O89" s="20">
        <f t="shared" si="36"/>
        <v>0</v>
      </c>
      <c r="P89" s="20">
        <f t="shared" si="36"/>
        <v>0</v>
      </c>
      <c r="Q89" s="20">
        <f t="shared" si="36"/>
        <v>5.5340343110139867E-4</v>
      </c>
    </row>
    <row r="90" spans="2:17" x14ac:dyDescent="0.35">
      <c r="B90" s="9" t="s">
        <v>33</v>
      </c>
      <c r="C90" s="9">
        <v>2023</v>
      </c>
      <c r="D90" s="9" t="s">
        <v>37</v>
      </c>
      <c r="E90" s="20">
        <f t="shared" ref="E90:Q90" si="37">(E76-E75)/E75</f>
        <v>5.7240984544947189E-4</v>
      </c>
      <c r="F90" s="20">
        <f t="shared" si="37"/>
        <v>7.068803016022621E-3</v>
      </c>
      <c r="G90" s="20">
        <f t="shared" si="37"/>
        <v>-2.7088036117381396E-2</v>
      </c>
      <c r="H90" s="20">
        <f t="shared" si="37"/>
        <v>5.0590219224283623E-3</v>
      </c>
      <c r="I90" s="20">
        <f t="shared" si="37"/>
        <v>-2.0325203252032523E-2</v>
      </c>
      <c r="J90" s="20">
        <f t="shared" si="37"/>
        <v>4.1255084253341047E-2</v>
      </c>
      <c r="K90" s="20">
        <f t="shared" si="37"/>
        <v>2.2740193291642979E-2</v>
      </c>
      <c r="L90" s="20">
        <f t="shared" si="37"/>
        <v>1.4518002322880372E-2</v>
      </c>
      <c r="M90" s="20">
        <f t="shared" si="37"/>
        <v>9.8441345365052387E-3</v>
      </c>
      <c r="N90" s="20">
        <f t="shared" si="37"/>
        <v>1.46484375E-2</v>
      </c>
      <c r="O90" s="20">
        <f t="shared" si="37"/>
        <v>3.6385688295936585E-3</v>
      </c>
      <c r="P90" s="20">
        <f t="shared" si="37"/>
        <v>2.034587995930853E-3</v>
      </c>
      <c r="Q90" s="20">
        <f t="shared" si="37"/>
        <v>7.1902654867255691E-3</v>
      </c>
    </row>
    <row r="91" spans="2:17" x14ac:dyDescent="0.35">
      <c r="B91" s="9" t="s">
        <v>33</v>
      </c>
      <c r="C91" s="9">
        <v>2023</v>
      </c>
      <c r="D91" s="9" t="s">
        <v>38</v>
      </c>
      <c r="E91" s="20">
        <f t="shared" ref="E91:Q91" si="38">(E77-E76)/E76</f>
        <v>-5.7208237986283023E-4</v>
      </c>
      <c r="F91" s="20">
        <f t="shared" si="38"/>
        <v>2.6672905942910705E-2</v>
      </c>
      <c r="G91" s="20">
        <f t="shared" si="38"/>
        <v>2.4941995359628672E-2</v>
      </c>
      <c r="H91" s="20">
        <f t="shared" si="38"/>
        <v>3.355704697986545E-3</v>
      </c>
      <c r="I91" s="20">
        <f t="shared" si="38"/>
        <v>-2.5489033787788874E-2</v>
      </c>
      <c r="J91" s="20">
        <f t="shared" si="38"/>
        <v>-1.8973214285714159E-2</v>
      </c>
      <c r="K91" s="20">
        <f t="shared" si="38"/>
        <v>2.8349082823790964E-2</v>
      </c>
      <c r="L91" s="20">
        <f t="shared" si="38"/>
        <v>1.2593016599885617E-2</v>
      </c>
      <c r="M91" s="20">
        <f t="shared" si="38"/>
        <v>8.9358245329001513E-3</v>
      </c>
      <c r="N91" s="20">
        <f t="shared" si="38"/>
        <v>1.9730510105871003E-2</v>
      </c>
      <c r="O91" s="20">
        <f t="shared" si="38"/>
        <v>2.4169184290030554E-3</v>
      </c>
      <c r="P91" s="20">
        <f t="shared" si="38"/>
        <v>3.5532994923857292E-3</v>
      </c>
      <c r="Q91" s="20">
        <f t="shared" si="38"/>
        <v>5.4914881933003845E-3</v>
      </c>
    </row>
    <row r="92" spans="2:17" x14ac:dyDescent="0.35">
      <c r="B92" s="52" t="s">
        <v>83</v>
      </c>
      <c r="C92" s="52"/>
      <c r="D92" s="52"/>
      <c r="E92" s="21">
        <f>SUM(E80:E91)</f>
        <v>0.10948121428393404</v>
      </c>
      <c r="F92" s="21">
        <f t="shared" ref="F92" si="39">SUM(F80:F91)</f>
        <v>-6.639897831265909E-3</v>
      </c>
      <c r="G92" s="21">
        <f t="shared" ref="G92" si="40">SUM(G80:G91)</f>
        <v>8.5789646476304438E-2</v>
      </c>
      <c r="H92" s="21">
        <f t="shared" ref="H92" si="41">SUM(H80:H91)</f>
        <v>8.1608183959908737E-2</v>
      </c>
      <c r="I92" s="21">
        <f t="shared" ref="I92" si="42">SUM(I80:I91)</f>
        <v>-0.14039869277175199</v>
      </c>
      <c r="J92" s="21">
        <f t="shared" ref="J92" si="43">SUM(J80:J91)</f>
        <v>1.3452894126808595E-2</v>
      </c>
      <c r="K92" s="21">
        <f t="shared" ref="K92" si="44">SUM(K80:K91)</f>
        <v>-7.5795670153252434E-2</v>
      </c>
      <c r="L92" s="21">
        <f t="shared" ref="L92" si="45">SUM(L80:L91)</f>
        <v>7.5611128143722547E-2</v>
      </c>
      <c r="M92" s="21">
        <f t="shared" ref="M92" si="46">SUM(M80:M91)</f>
        <v>2.4616706238015207E-2</v>
      </c>
      <c r="N92" s="21">
        <f t="shared" ref="N92" si="47">SUM(N80:N91)</f>
        <v>0.1566574174276722</v>
      </c>
      <c r="O92" s="21">
        <f t="shared" ref="O92" si="48">SUM(O80:O91)</f>
        <v>4.5734300024166549E-2</v>
      </c>
      <c r="P92" s="21">
        <f t="shared" ref="P92" si="49">SUM(P80:P91)</f>
        <v>6.7173674108132769E-2</v>
      </c>
      <c r="Q92" s="21">
        <f t="shared" ref="Q92" si="50">SUM(Q80:Q91)</f>
        <v>3.1440132200929186E-2</v>
      </c>
    </row>
  </sheetData>
  <mergeCells count="3">
    <mergeCell ref="B30:D30"/>
    <mergeCell ref="B61:D61"/>
    <mergeCell ref="B92:D9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4F33-5B05-420D-89E9-23892154AF7A}">
  <dimension ref="B2:Q106"/>
  <sheetViews>
    <sheetView topLeftCell="A85" zoomScale="70" zoomScaleNormal="70" workbookViewId="0">
      <selection activeCell="O110" sqref="O110"/>
    </sheetView>
  </sheetViews>
  <sheetFormatPr defaultRowHeight="14.5" x14ac:dyDescent="0.35"/>
  <cols>
    <col min="1" max="1" width="8.90625" customWidth="1"/>
    <col min="2" max="2" width="12.1796875" bestFit="1" customWidth="1"/>
    <col min="6" max="6" width="9.453125" customWidth="1"/>
    <col min="7" max="7" width="12.90625" customWidth="1"/>
    <col min="12" max="12" width="16.90625" customWidth="1"/>
    <col min="13" max="13" width="18.08984375" customWidth="1"/>
    <col min="14" max="14" width="9" bestFit="1" customWidth="1"/>
    <col min="15" max="15" width="18.54296875" bestFit="1" customWidth="1"/>
    <col min="16" max="16" width="20" bestFit="1" customWidth="1"/>
    <col min="17" max="17" width="22.6328125" bestFit="1" customWidth="1"/>
  </cols>
  <sheetData>
    <row r="2" spans="2:17" ht="28.5" x14ac:dyDescent="0.65">
      <c r="B2" s="54" t="s">
        <v>93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</row>
    <row r="3" spans="2:17" ht="28.5" x14ac:dyDescent="0.65">
      <c r="B3" s="53" t="s">
        <v>94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2:17" x14ac:dyDescent="0.35">
      <c r="B4" s="22" t="s">
        <v>0</v>
      </c>
      <c r="C4" s="22" t="s">
        <v>1</v>
      </c>
      <c r="D4" s="22" t="s">
        <v>2</v>
      </c>
      <c r="E4" s="5" t="s">
        <v>48</v>
      </c>
      <c r="F4" s="5" t="s">
        <v>50</v>
      </c>
      <c r="G4" s="5" t="s">
        <v>51</v>
      </c>
      <c r="N4" t="s">
        <v>63</v>
      </c>
      <c r="O4" t="s">
        <v>88</v>
      </c>
      <c r="P4" t="s">
        <v>89</v>
      </c>
      <c r="Q4" t="s">
        <v>90</v>
      </c>
    </row>
    <row r="5" spans="2:17" x14ac:dyDescent="0.35">
      <c r="B5" s="22" t="s">
        <v>30</v>
      </c>
      <c r="C5" s="22">
        <v>2017</v>
      </c>
      <c r="D5" s="22" t="s">
        <v>37</v>
      </c>
      <c r="E5" s="22">
        <v>1726.3</v>
      </c>
      <c r="F5" s="22">
        <v>254.7</v>
      </c>
      <c r="G5" s="22">
        <v>401.7</v>
      </c>
      <c r="N5" t="s">
        <v>91</v>
      </c>
      <c r="O5" s="4">
        <f>(E6-E5)/E5</f>
        <v>3.2265539014076243E-2</v>
      </c>
      <c r="P5" s="4">
        <f>(F6-F5)/F5</f>
        <v>4.4365920691009079E-2</v>
      </c>
      <c r="Q5" s="4">
        <f>(G6-G5)/G5</f>
        <v>5.7007717201892044E-2</v>
      </c>
    </row>
    <row r="6" spans="2:17" x14ac:dyDescent="0.35">
      <c r="B6" s="22" t="s">
        <v>30</v>
      </c>
      <c r="C6" s="22">
        <v>2018</v>
      </c>
      <c r="D6" s="22" t="s">
        <v>36</v>
      </c>
      <c r="E6" s="22">
        <v>1781.9999999999998</v>
      </c>
      <c r="F6" s="22">
        <v>266</v>
      </c>
      <c r="G6" s="22">
        <v>424.6</v>
      </c>
      <c r="N6" t="s">
        <v>84</v>
      </c>
      <c r="O6" s="4">
        <f>(E8-E7)/E7</f>
        <v>-1.0561797752808836E-2</v>
      </c>
      <c r="P6" s="4">
        <f>(F8-F7)/F7</f>
        <v>6.1194029850746186E-2</v>
      </c>
      <c r="Q6" s="4">
        <f>(G8-G7)/G7</f>
        <v>6.3157894736842107E-2</v>
      </c>
    </row>
    <row r="7" spans="2:17" x14ac:dyDescent="0.35">
      <c r="B7" s="22" t="s">
        <v>30</v>
      </c>
      <c r="C7" s="22">
        <v>2018</v>
      </c>
      <c r="D7" s="22" t="s">
        <v>37</v>
      </c>
      <c r="E7" s="22">
        <v>1780</v>
      </c>
      <c r="F7" s="22">
        <v>268</v>
      </c>
      <c r="G7" s="22">
        <v>427.5</v>
      </c>
      <c r="N7" t="s">
        <v>85</v>
      </c>
      <c r="O7" s="4">
        <f>(E10-E9)/E9</f>
        <v>7.6090043355610426E-2</v>
      </c>
      <c r="P7" s="4">
        <f>(F10-F9)/F9</f>
        <v>8.3208709696715719E-2</v>
      </c>
      <c r="Q7" s="4">
        <f>(G10-G9)/G9</f>
        <v>5.4468853445681462E-2</v>
      </c>
    </row>
    <row r="8" spans="2:17" x14ac:dyDescent="0.35">
      <c r="B8" s="22" t="s">
        <v>30</v>
      </c>
      <c r="C8" s="22">
        <v>2019</v>
      </c>
      <c r="D8" s="22" t="s">
        <v>36</v>
      </c>
      <c r="E8" s="22">
        <v>1761.2000000000003</v>
      </c>
      <c r="F8" s="22">
        <v>284.39999999999998</v>
      </c>
      <c r="G8" s="22">
        <v>454.5</v>
      </c>
      <c r="N8" t="s">
        <v>86</v>
      </c>
      <c r="O8" s="4">
        <f>(E12-E11)/E11</f>
        <v>4.3395400345102884E-2</v>
      </c>
      <c r="P8" s="4">
        <f>(F12-F11)/F11</f>
        <v>6.390578779929669E-2</v>
      </c>
      <c r="Q8" s="4">
        <f>(G12-G11)/G11</f>
        <v>4.3620501635768812E-2</v>
      </c>
    </row>
    <row r="9" spans="2:17" x14ac:dyDescent="0.35">
      <c r="B9" s="22" t="s">
        <v>30</v>
      </c>
      <c r="C9" s="22">
        <v>2019</v>
      </c>
      <c r="D9" s="22" t="s">
        <v>37</v>
      </c>
      <c r="E9" s="22">
        <v>1760.6333333333334</v>
      </c>
      <c r="F9" s="22">
        <v>278.61666666666667</v>
      </c>
      <c r="G9" s="22">
        <v>443.06666666666672</v>
      </c>
      <c r="J9" s="22"/>
      <c r="N9" t="s">
        <v>87</v>
      </c>
      <c r="O9" s="4">
        <f>(E14-E13)/E13</f>
        <v>6.3234935350085564E-2</v>
      </c>
      <c r="P9" s="4">
        <f>(F14-F13)/F13</f>
        <v>7.3460456392622706E-2</v>
      </c>
      <c r="Q9" s="4">
        <f>(G14-G13)/G13</f>
        <v>4.4490644490644563E-2</v>
      </c>
    </row>
    <row r="10" spans="2:17" x14ac:dyDescent="0.35">
      <c r="B10" s="22" t="s">
        <v>30</v>
      </c>
      <c r="C10" s="22">
        <v>2020</v>
      </c>
      <c r="D10" s="22" t="s">
        <v>36</v>
      </c>
      <c r="E10" s="22">
        <v>1894.5999999999997</v>
      </c>
      <c r="F10" s="22">
        <v>301.79999999999995</v>
      </c>
      <c r="G10" s="22">
        <v>467.2</v>
      </c>
      <c r="N10" t="s">
        <v>92</v>
      </c>
      <c r="O10" s="4">
        <f>(E16-E15)/E15</f>
        <v>2.6828605093809604E-2</v>
      </c>
      <c r="P10" s="4">
        <f>(F16-F15)/F15</f>
        <v>6.1560693641618362E-2</v>
      </c>
      <c r="Q10" s="4">
        <f>(G16-G15)/G15</f>
        <v>4.9446202531645569E-2</v>
      </c>
    </row>
    <row r="11" spans="2:17" x14ac:dyDescent="0.35">
      <c r="B11" s="22" t="s">
        <v>30</v>
      </c>
      <c r="C11" s="22">
        <v>2020</v>
      </c>
      <c r="D11" s="22" t="s">
        <v>37</v>
      </c>
      <c r="E11" s="22">
        <v>1941.45</v>
      </c>
      <c r="F11" s="22">
        <v>298.61666666666667</v>
      </c>
      <c r="G11" s="22">
        <v>458.5</v>
      </c>
    </row>
    <row r="12" spans="2:17" x14ac:dyDescent="0.35">
      <c r="B12" s="22" t="s">
        <v>30</v>
      </c>
      <c r="C12" s="22">
        <v>2021</v>
      </c>
      <c r="D12" s="22" t="s">
        <v>36</v>
      </c>
      <c r="E12" s="22">
        <v>2025.7</v>
      </c>
      <c r="F12" s="22">
        <v>317.7</v>
      </c>
      <c r="G12" s="22">
        <v>478.5</v>
      </c>
    </row>
    <row r="13" spans="2:17" x14ac:dyDescent="0.35">
      <c r="B13" s="22" t="s">
        <v>30</v>
      </c>
      <c r="C13" s="22">
        <v>2021</v>
      </c>
      <c r="D13" s="22" t="s">
        <v>37</v>
      </c>
      <c r="E13" s="22">
        <v>2049.5</v>
      </c>
      <c r="F13" s="22">
        <v>319.89999999999998</v>
      </c>
      <c r="G13" s="22">
        <v>481</v>
      </c>
    </row>
    <row r="14" spans="2:17" x14ac:dyDescent="0.35">
      <c r="B14" s="22" t="s">
        <v>30</v>
      </c>
      <c r="C14" s="22">
        <v>2022</v>
      </c>
      <c r="D14" s="22" t="s">
        <v>36</v>
      </c>
      <c r="E14" s="22">
        <v>2179.1000000000004</v>
      </c>
      <c r="F14" s="22">
        <v>343.4</v>
      </c>
      <c r="G14" s="22">
        <v>502.40000000000003</v>
      </c>
    </row>
    <row r="15" spans="2:17" x14ac:dyDescent="0.35">
      <c r="B15" s="22" t="s">
        <v>30</v>
      </c>
      <c r="C15" s="22">
        <v>2022</v>
      </c>
      <c r="D15" s="22" t="s">
        <v>37</v>
      </c>
      <c r="E15" s="22">
        <v>2206.6</v>
      </c>
      <c r="F15" s="22">
        <v>346</v>
      </c>
      <c r="G15" s="22">
        <v>505.6</v>
      </c>
    </row>
    <row r="16" spans="2:17" x14ac:dyDescent="0.35">
      <c r="B16" s="22" t="s">
        <v>30</v>
      </c>
      <c r="C16" s="22">
        <v>2023</v>
      </c>
      <c r="D16" s="22" t="s">
        <v>36</v>
      </c>
      <c r="E16" s="22">
        <v>2265.8000000000002</v>
      </c>
      <c r="F16" s="22">
        <v>367.29999999999995</v>
      </c>
      <c r="G16" s="22">
        <v>530.6</v>
      </c>
    </row>
    <row r="21" spans="2:17" ht="28.5" x14ac:dyDescent="0.65">
      <c r="B21" s="53" t="s">
        <v>95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spans="2:17" x14ac:dyDescent="0.35">
      <c r="B22" s="22" t="s">
        <v>0</v>
      </c>
      <c r="C22" s="22" t="s">
        <v>1</v>
      </c>
      <c r="D22" s="22" t="s">
        <v>2</v>
      </c>
      <c r="E22" s="5" t="s">
        <v>48</v>
      </c>
      <c r="F22" s="5" t="s">
        <v>50</v>
      </c>
      <c r="G22" s="5" t="s">
        <v>51</v>
      </c>
      <c r="N22" t="s">
        <v>63</v>
      </c>
      <c r="O22" t="s">
        <v>88</v>
      </c>
      <c r="P22" t="s">
        <v>89</v>
      </c>
      <c r="Q22" t="s">
        <v>90</v>
      </c>
    </row>
    <row r="23" spans="2:17" x14ac:dyDescent="0.35">
      <c r="B23" t="s">
        <v>33</v>
      </c>
      <c r="C23">
        <v>2017</v>
      </c>
      <c r="D23" t="s">
        <v>37</v>
      </c>
      <c r="E23">
        <v>1708.1</v>
      </c>
      <c r="F23">
        <v>245.60000000000002</v>
      </c>
      <c r="G23">
        <v>391.3</v>
      </c>
      <c r="N23" t="s">
        <v>91</v>
      </c>
      <c r="O23" s="4">
        <f>(E24-E23)/E23</f>
        <v>4.3322990457233717E-3</v>
      </c>
      <c r="P23" s="4">
        <f>(F24-F23)/F23</f>
        <v>4.7231270358306043E-2</v>
      </c>
      <c r="Q23" s="4">
        <f>(G24-G23)/G23</f>
        <v>4.9322770253002836E-2</v>
      </c>
    </row>
    <row r="24" spans="2:17" x14ac:dyDescent="0.35">
      <c r="B24" t="s">
        <v>33</v>
      </c>
      <c r="C24">
        <v>2018</v>
      </c>
      <c r="D24" t="s">
        <v>36</v>
      </c>
      <c r="E24">
        <v>1715.5</v>
      </c>
      <c r="F24">
        <v>257.2</v>
      </c>
      <c r="G24">
        <v>410.6</v>
      </c>
      <c r="N24" t="s">
        <v>84</v>
      </c>
      <c r="O24" s="4">
        <f>(E26-E25)/E25</f>
        <v>2.8139534883720847E-2</v>
      </c>
      <c r="P24" s="4">
        <f>(F26-F25)/F25</f>
        <v>4.9439938200077298E-2</v>
      </c>
      <c r="Q24" s="4">
        <f>(G26-G25)/G25</f>
        <v>4.3677606177606236E-2</v>
      </c>
    </row>
    <row r="25" spans="2:17" x14ac:dyDescent="0.35">
      <c r="B25" t="s">
        <v>33</v>
      </c>
      <c r="C25">
        <v>2018</v>
      </c>
      <c r="D25" t="s">
        <v>37</v>
      </c>
      <c r="E25">
        <v>1720.0000000000002</v>
      </c>
      <c r="F25">
        <v>258.89999999999998</v>
      </c>
      <c r="G25">
        <v>414.4</v>
      </c>
      <c r="N25" t="s">
        <v>85</v>
      </c>
      <c r="O25" s="4">
        <f>(E28-E27)/E27</f>
        <v>7.820308950477059E-2</v>
      </c>
      <c r="P25" s="4">
        <f>(F28-F27)/F27</f>
        <v>4.65787006994016E-2</v>
      </c>
      <c r="Q25" s="4">
        <f>(G28-G27)/G27</f>
        <v>1.5857172024228278E-2</v>
      </c>
    </row>
    <row r="26" spans="2:17" x14ac:dyDescent="0.35">
      <c r="B26" t="s">
        <v>33</v>
      </c>
      <c r="C26">
        <v>2019</v>
      </c>
      <c r="D26" t="s">
        <v>36</v>
      </c>
      <c r="E26">
        <v>1768.4</v>
      </c>
      <c r="F26">
        <v>271.7</v>
      </c>
      <c r="G26">
        <v>432.5</v>
      </c>
      <c r="N26" t="s">
        <v>86</v>
      </c>
      <c r="O26" s="4">
        <f>(E30-E29)/E29</f>
        <v>5.1524443040940129E-2</v>
      </c>
      <c r="P26" s="4">
        <f>(F30-F29)/F29</f>
        <v>7.7773937089526443E-2</v>
      </c>
      <c r="Q26" s="4">
        <f>(G30-G29)/G29</f>
        <v>1.8319673927334662E-2</v>
      </c>
    </row>
    <row r="27" spans="2:17" x14ac:dyDescent="0.35">
      <c r="B27" t="s">
        <v>33</v>
      </c>
      <c r="C27">
        <v>2019</v>
      </c>
      <c r="D27" t="s">
        <v>37</v>
      </c>
      <c r="E27">
        <v>1760.8</v>
      </c>
      <c r="F27">
        <v>277.38</v>
      </c>
      <c r="G27">
        <v>440.80999999999995</v>
      </c>
      <c r="J27" s="22"/>
      <c r="N27" t="s">
        <v>87</v>
      </c>
      <c r="O27" s="4">
        <f>(E32-E31)/E31</f>
        <v>5.1062404287902124E-2</v>
      </c>
      <c r="P27" s="4">
        <f>(F32-F31)/F31</f>
        <v>6.6539318688315752E-2</v>
      </c>
      <c r="Q27" s="4">
        <f>(G32-G31)/G31</f>
        <v>4.2863266180882861E-2</v>
      </c>
    </row>
    <row r="28" spans="2:17" x14ac:dyDescent="0.35">
      <c r="B28" t="s">
        <v>33</v>
      </c>
      <c r="C28">
        <v>2020</v>
      </c>
      <c r="D28" t="s">
        <v>36</v>
      </c>
      <c r="E28">
        <v>1898.5</v>
      </c>
      <c r="F28">
        <v>290.3</v>
      </c>
      <c r="G28">
        <v>447.8</v>
      </c>
      <c r="N28" t="s">
        <v>92</v>
      </c>
      <c r="O28" s="4">
        <f>(E34-E33)/E33</f>
        <v>3.2729555236728838E-2</v>
      </c>
      <c r="P28" s="4">
        <f>(F34-F33)/F33</f>
        <v>7.3799644339063539E-2</v>
      </c>
      <c r="Q28" s="4">
        <f>(G34-G33)/G33</f>
        <v>4.9714751426242938E-2</v>
      </c>
    </row>
    <row r="29" spans="2:17" x14ac:dyDescent="0.35">
      <c r="B29" t="s">
        <v>33</v>
      </c>
      <c r="C29">
        <v>2020</v>
      </c>
      <c r="D29" t="s">
        <v>37</v>
      </c>
      <c r="E29">
        <v>1963.3400000000001</v>
      </c>
      <c r="F29">
        <v>289.3</v>
      </c>
      <c r="G29">
        <v>456.34000000000003</v>
      </c>
    </row>
    <row r="30" spans="2:17" x14ac:dyDescent="0.35">
      <c r="B30" t="s">
        <v>33</v>
      </c>
      <c r="C30">
        <v>2021</v>
      </c>
      <c r="D30" t="s">
        <v>36</v>
      </c>
      <c r="E30">
        <v>2064.4999999999995</v>
      </c>
      <c r="F30">
        <v>311.8</v>
      </c>
      <c r="G30">
        <v>464.69999999999993</v>
      </c>
    </row>
    <row r="31" spans="2:17" x14ac:dyDescent="0.35">
      <c r="B31" t="s">
        <v>33</v>
      </c>
      <c r="C31">
        <v>2021</v>
      </c>
      <c r="D31" t="s">
        <v>37</v>
      </c>
      <c r="E31">
        <v>2089.6</v>
      </c>
      <c r="F31">
        <v>314.10000000000002</v>
      </c>
      <c r="G31">
        <v>466.6</v>
      </c>
    </row>
    <row r="32" spans="2:17" x14ac:dyDescent="0.35">
      <c r="B32" t="s">
        <v>33</v>
      </c>
      <c r="C32">
        <v>2022</v>
      </c>
      <c r="D32" t="s">
        <v>36</v>
      </c>
      <c r="E32">
        <v>2196.3000000000002</v>
      </c>
      <c r="F32">
        <v>335</v>
      </c>
      <c r="G32">
        <v>486.59999999999997</v>
      </c>
    </row>
    <row r="33" spans="2:17" x14ac:dyDescent="0.35">
      <c r="B33" t="s">
        <v>33</v>
      </c>
      <c r="C33">
        <v>2022</v>
      </c>
      <c r="D33" t="s">
        <v>37</v>
      </c>
      <c r="E33">
        <v>2230.4</v>
      </c>
      <c r="F33">
        <v>337.4</v>
      </c>
      <c r="G33">
        <v>490.8</v>
      </c>
    </row>
    <row r="34" spans="2:17" x14ac:dyDescent="0.35">
      <c r="B34" t="s">
        <v>33</v>
      </c>
      <c r="C34">
        <v>2023</v>
      </c>
      <c r="D34" t="s">
        <v>36</v>
      </c>
      <c r="E34">
        <v>2303.4</v>
      </c>
      <c r="F34">
        <v>362.3</v>
      </c>
      <c r="G34">
        <v>515.20000000000005</v>
      </c>
    </row>
    <row r="39" spans="2:17" ht="28.5" x14ac:dyDescent="0.65">
      <c r="B39" s="53" t="s">
        <v>96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</row>
    <row r="40" spans="2:17" x14ac:dyDescent="0.35">
      <c r="B40" s="22" t="s">
        <v>0</v>
      </c>
      <c r="C40" s="22" t="s">
        <v>1</v>
      </c>
      <c r="D40" s="22" t="s">
        <v>2</v>
      </c>
      <c r="E40" s="5" t="s">
        <v>48</v>
      </c>
      <c r="F40" s="5" t="s">
        <v>50</v>
      </c>
      <c r="G40" s="5" t="s">
        <v>51</v>
      </c>
      <c r="N40" t="s">
        <v>63</v>
      </c>
      <c r="O40" t="s">
        <v>88</v>
      </c>
      <c r="P40" t="s">
        <v>89</v>
      </c>
      <c r="Q40" t="s">
        <v>90</v>
      </c>
    </row>
    <row r="41" spans="2:17" x14ac:dyDescent="0.35">
      <c r="B41" t="s">
        <v>34</v>
      </c>
      <c r="C41">
        <v>2017</v>
      </c>
      <c r="D41" t="s">
        <v>37</v>
      </c>
      <c r="E41">
        <v>1718.4</v>
      </c>
      <c r="F41">
        <v>251.2</v>
      </c>
      <c r="G41">
        <v>396.59999999999997</v>
      </c>
      <c r="N41" t="s">
        <v>91</v>
      </c>
      <c r="O41" s="4">
        <f>(E42-E41)/E41</f>
        <v>2.1880819366852832E-2</v>
      </c>
      <c r="P41" s="4">
        <f>(F42-F41)/F41</f>
        <v>4.4984076433121065E-2</v>
      </c>
      <c r="Q41" s="4">
        <f>(G42-G41)/G41</f>
        <v>5.2445789208270331E-2</v>
      </c>
    </row>
    <row r="42" spans="2:17" x14ac:dyDescent="0.35">
      <c r="B42" t="s">
        <v>34</v>
      </c>
      <c r="C42">
        <v>2018</v>
      </c>
      <c r="D42" t="s">
        <v>36</v>
      </c>
      <c r="E42">
        <v>1756</v>
      </c>
      <c r="F42">
        <v>262.5</v>
      </c>
      <c r="G42">
        <v>417.4</v>
      </c>
      <c r="N42" t="s">
        <v>84</v>
      </c>
      <c r="O42" s="4">
        <f>(E44-E43)/E43</f>
        <v>3.3008935177280484E-3</v>
      </c>
      <c r="P42" s="4">
        <f>(F44-F43)/F43</f>
        <v>5.7488653555219545E-2</v>
      </c>
      <c r="Q42" s="4">
        <f>(G44-G43)/G43</f>
        <v>5.2744119743407099E-2</v>
      </c>
    </row>
    <row r="43" spans="2:17" x14ac:dyDescent="0.35">
      <c r="B43" t="s">
        <v>34</v>
      </c>
      <c r="C43">
        <v>2018</v>
      </c>
      <c r="D43" t="s">
        <v>37</v>
      </c>
      <c r="E43">
        <v>1757.1000000000001</v>
      </c>
      <c r="F43">
        <v>264.39999999999998</v>
      </c>
      <c r="G43">
        <v>420.9</v>
      </c>
      <c r="N43" t="s">
        <v>85</v>
      </c>
      <c r="O43" s="4">
        <f>(E46-E45)/E45</f>
        <v>7.546527462551067E-2</v>
      </c>
      <c r="P43" s="4">
        <f>(F46-F45)/F45</f>
        <v>6.6881836112605259E-2</v>
      </c>
      <c r="Q43" s="4">
        <f>(G46-G45)/G45</f>
        <v>3.1350497432907645E-2</v>
      </c>
    </row>
    <row r="44" spans="2:17" x14ac:dyDescent="0.35">
      <c r="B44" t="s">
        <v>34</v>
      </c>
      <c r="C44">
        <v>2019</v>
      </c>
      <c r="D44" t="s">
        <v>36</v>
      </c>
      <c r="E44">
        <v>1762.9</v>
      </c>
      <c r="F44">
        <v>279.60000000000002</v>
      </c>
      <c r="G44">
        <v>443.1</v>
      </c>
      <c r="N44" t="s">
        <v>86</v>
      </c>
      <c r="O44" s="4">
        <f>(E48-E47)/E47</f>
        <v>4.6194885474645377E-2</v>
      </c>
      <c r="P44" s="4">
        <f>(F48-F47)/F47</f>
        <v>6.7862582501269295E-2</v>
      </c>
      <c r="Q44" s="4">
        <f>(G48-G47)/G47</f>
        <v>2.8197436596672929E-2</v>
      </c>
    </row>
    <row r="45" spans="2:17" x14ac:dyDescent="0.35">
      <c r="B45" t="s">
        <v>34</v>
      </c>
      <c r="C45">
        <v>2019</v>
      </c>
      <c r="D45" t="s">
        <v>37</v>
      </c>
      <c r="E45">
        <v>1762.4</v>
      </c>
      <c r="F45">
        <v>278.85000000000002</v>
      </c>
      <c r="G45">
        <v>443.10833333333335</v>
      </c>
      <c r="J45" s="22"/>
      <c r="N45" t="s">
        <v>87</v>
      </c>
      <c r="O45" s="4">
        <f>(E50-E49)/E49</f>
        <v>5.8185165447410675E-2</v>
      </c>
      <c r="P45" s="4">
        <f>(F50-F49)/F49</f>
        <v>7.08215297450423E-2</v>
      </c>
      <c r="Q45" s="4">
        <f>(G50-G49)/G49</f>
        <v>4.3505807814149998E-2</v>
      </c>
    </row>
    <row r="46" spans="2:17" x14ac:dyDescent="0.35">
      <c r="B46" t="s">
        <v>34</v>
      </c>
      <c r="C46">
        <v>2020</v>
      </c>
      <c r="D46" t="s">
        <v>36</v>
      </c>
      <c r="E46">
        <v>1895.4</v>
      </c>
      <c r="F46">
        <v>297.5</v>
      </c>
      <c r="G46">
        <v>457</v>
      </c>
      <c r="N46" t="s">
        <v>92</v>
      </c>
      <c r="O46" s="4">
        <f>(E52-E51)/E51</f>
        <v>2.9309488325881601E-2</v>
      </c>
      <c r="P46" s="4">
        <f>(F52-F51)/F51</f>
        <v>6.592765460910141E-2</v>
      </c>
      <c r="Q46" s="4">
        <f>(G52-G51)/G51</f>
        <v>4.980919863426405E-2</v>
      </c>
    </row>
    <row r="47" spans="2:17" x14ac:dyDescent="0.35">
      <c r="B47" t="s">
        <v>34</v>
      </c>
      <c r="C47">
        <v>2020</v>
      </c>
      <c r="D47" t="s">
        <v>37</v>
      </c>
      <c r="E47">
        <v>1949.35</v>
      </c>
      <c r="F47">
        <v>295.45</v>
      </c>
      <c r="G47">
        <v>458.375</v>
      </c>
    </row>
    <row r="48" spans="2:17" x14ac:dyDescent="0.35">
      <c r="B48" t="s">
        <v>34</v>
      </c>
      <c r="C48">
        <v>2021</v>
      </c>
      <c r="D48" t="s">
        <v>36</v>
      </c>
      <c r="E48">
        <v>2039.3999999999999</v>
      </c>
      <c r="F48">
        <v>315.5</v>
      </c>
      <c r="G48">
        <v>471.29999999999995</v>
      </c>
    </row>
    <row r="49" spans="2:17" x14ac:dyDescent="0.35">
      <c r="B49" t="s">
        <v>34</v>
      </c>
      <c r="C49">
        <v>2021</v>
      </c>
      <c r="D49" t="s">
        <v>37</v>
      </c>
      <c r="E49">
        <v>2064.1</v>
      </c>
      <c r="F49">
        <v>317.70000000000005</v>
      </c>
      <c r="G49">
        <v>473.5</v>
      </c>
    </row>
    <row r="50" spans="2:17" x14ac:dyDescent="0.35">
      <c r="B50" t="s">
        <v>34</v>
      </c>
      <c r="C50">
        <v>2022</v>
      </c>
      <c r="D50" t="s">
        <v>36</v>
      </c>
      <c r="E50">
        <v>2184.2000000000003</v>
      </c>
      <c r="F50">
        <v>340.2</v>
      </c>
      <c r="G50">
        <v>494.1</v>
      </c>
    </row>
    <row r="51" spans="2:17" x14ac:dyDescent="0.35">
      <c r="B51" t="s">
        <v>34</v>
      </c>
      <c r="C51">
        <v>2022</v>
      </c>
      <c r="D51" t="s">
        <v>37</v>
      </c>
      <c r="E51">
        <v>2214.3000000000002</v>
      </c>
      <c r="F51">
        <v>342.8</v>
      </c>
      <c r="G51">
        <v>497.9</v>
      </c>
    </row>
    <row r="52" spans="2:17" x14ac:dyDescent="0.35">
      <c r="B52" t="s">
        <v>34</v>
      </c>
      <c r="C52">
        <v>2023</v>
      </c>
      <c r="D52" t="s">
        <v>36</v>
      </c>
      <c r="E52">
        <v>2279.1999999999998</v>
      </c>
      <c r="F52">
        <v>365.4</v>
      </c>
      <c r="G52">
        <v>522.70000000000005</v>
      </c>
    </row>
    <row r="57" spans="2:17" ht="28.5" x14ac:dyDescent="0.65">
      <c r="B57" s="55" t="s">
        <v>97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</row>
    <row r="58" spans="2:17" ht="28.5" x14ac:dyDescent="0.65">
      <c r="B58" s="53" t="s">
        <v>94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</row>
    <row r="59" spans="2:17" x14ac:dyDescent="0.35">
      <c r="B59" s="22" t="s">
        <v>0</v>
      </c>
      <c r="C59" s="22" t="s">
        <v>1</v>
      </c>
      <c r="D59" s="22" t="s">
        <v>2</v>
      </c>
      <c r="E59" s="5" t="s">
        <v>48</v>
      </c>
      <c r="F59" s="5" t="s">
        <v>50</v>
      </c>
      <c r="G59" s="5" t="s">
        <v>51</v>
      </c>
      <c r="N59" t="s">
        <v>63</v>
      </c>
      <c r="O59" t="s">
        <v>88</v>
      </c>
      <c r="P59" t="s">
        <v>89</v>
      </c>
      <c r="Q59" t="s">
        <v>90</v>
      </c>
    </row>
    <row r="60" spans="2:17" x14ac:dyDescent="0.35">
      <c r="B60" t="s">
        <v>30</v>
      </c>
      <c r="C60">
        <v>2017</v>
      </c>
      <c r="D60" t="s">
        <v>31</v>
      </c>
      <c r="E60">
        <v>1737.3000000000002</v>
      </c>
      <c r="F60">
        <v>252.2</v>
      </c>
      <c r="G60">
        <v>397.4</v>
      </c>
      <c r="N60">
        <v>2017</v>
      </c>
      <c r="O60" s="4">
        <f>(E61-E60)/E60</f>
        <v>4.3918724457491481E-2</v>
      </c>
      <c r="P60" s="4">
        <f>(F61-F60)/F60</f>
        <v>4.6391752577319548E-2</v>
      </c>
      <c r="Q60" s="4">
        <f>(G61-G60)/G60</f>
        <v>5.6114745848012251E-2</v>
      </c>
    </row>
    <row r="61" spans="2:17" x14ac:dyDescent="0.35">
      <c r="B61" t="s">
        <v>30</v>
      </c>
      <c r="C61">
        <v>2017</v>
      </c>
      <c r="D61" t="s">
        <v>46</v>
      </c>
      <c r="E61">
        <v>1813.6000000000001</v>
      </c>
      <c r="F61">
        <v>263.89999999999998</v>
      </c>
      <c r="G61">
        <v>419.70000000000005</v>
      </c>
      <c r="N61">
        <v>2018</v>
      </c>
      <c r="O61" s="4">
        <f>(E63-E62)/E62</f>
        <v>-1.5327372688398904E-2</v>
      </c>
      <c r="P61" s="4">
        <f>(F63-F62)/F62</f>
        <v>6.8783068783068516E-2</v>
      </c>
      <c r="Q61" s="4">
        <f>(G63-G62)/G62</f>
        <v>6.9464201043148585E-2</v>
      </c>
    </row>
    <row r="62" spans="2:17" x14ac:dyDescent="0.35">
      <c r="B62" t="s">
        <v>30</v>
      </c>
      <c r="C62">
        <v>2018</v>
      </c>
      <c r="D62" t="s">
        <v>31</v>
      </c>
      <c r="E62">
        <v>1800.7</v>
      </c>
      <c r="F62">
        <v>264.60000000000002</v>
      </c>
      <c r="G62">
        <v>421.79999999999995</v>
      </c>
      <c r="N62">
        <v>2019</v>
      </c>
      <c r="O62" s="4">
        <f>(E65-E64)/E64</f>
        <v>0.10309161172993828</v>
      </c>
      <c r="P62" s="4">
        <f>(F65-F64)/F64</f>
        <v>4.3447545037089204E-2</v>
      </c>
      <c r="Q62" s="4">
        <f>(G65-G64)/G64</f>
        <v>2.6710816777041995E-2</v>
      </c>
    </row>
    <row r="63" spans="2:17" x14ac:dyDescent="0.35">
      <c r="B63" t="s">
        <v>30</v>
      </c>
      <c r="C63">
        <v>2018</v>
      </c>
      <c r="D63" t="s">
        <v>46</v>
      </c>
      <c r="E63">
        <v>1773.1000000000001</v>
      </c>
      <c r="F63">
        <v>282.79999999999995</v>
      </c>
      <c r="G63">
        <v>451.1</v>
      </c>
      <c r="N63">
        <v>2020</v>
      </c>
      <c r="O63" s="4">
        <f>(E67-E66)/E66</f>
        <v>8.3513875992984682E-2</v>
      </c>
      <c r="P63" s="4">
        <f>(F67-F66)/F66</f>
        <v>6.70690811535882E-2</v>
      </c>
      <c r="Q63" s="4">
        <f>(G67-G66)/G66</f>
        <v>1.583565161566465E-2</v>
      </c>
    </row>
    <row r="64" spans="2:17" x14ac:dyDescent="0.35">
      <c r="B64" t="s">
        <v>30</v>
      </c>
      <c r="C64">
        <v>2019</v>
      </c>
      <c r="D64" t="s">
        <v>31</v>
      </c>
      <c r="E64">
        <v>1759.6000000000001</v>
      </c>
      <c r="F64">
        <v>283.10000000000002</v>
      </c>
      <c r="G64">
        <v>452.99999999999994</v>
      </c>
      <c r="J64" s="22"/>
      <c r="N64">
        <v>2021</v>
      </c>
      <c r="O64" s="4">
        <f>(E69-E68)/E68</f>
        <v>4.9619983540688389E-2</v>
      </c>
      <c r="P64" s="4">
        <f>(F69-F68)/F68</f>
        <v>5.6793222466269291E-2</v>
      </c>
      <c r="Q64" s="4">
        <f>(G69-G68)/G68</f>
        <v>4.6095558829720135E-2</v>
      </c>
    </row>
    <row r="65" spans="2:17" x14ac:dyDescent="0.35">
      <c r="B65" t="s">
        <v>30</v>
      </c>
      <c r="C65">
        <v>2019</v>
      </c>
      <c r="D65" t="s">
        <v>46</v>
      </c>
      <c r="E65">
        <v>1940.9999999999995</v>
      </c>
      <c r="F65">
        <v>295.39999999999998</v>
      </c>
      <c r="G65">
        <v>465.09999999999997</v>
      </c>
      <c r="N65">
        <v>2022</v>
      </c>
      <c r="O65" s="4">
        <f>(E71-E70)/E70</f>
        <v>5.76405016256386E-2</v>
      </c>
      <c r="P65" s="4">
        <f>(F71-F70)/F70</f>
        <v>6.3036401302160441E-2</v>
      </c>
      <c r="Q65" s="4">
        <f>(G71-G70)/G70</f>
        <v>5.0270378529942074E-2</v>
      </c>
    </row>
    <row r="66" spans="2:17" x14ac:dyDescent="0.35">
      <c r="B66" t="s">
        <v>30</v>
      </c>
      <c r="C66">
        <v>2020</v>
      </c>
      <c r="D66" t="s">
        <v>31</v>
      </c>
      <c r="E66">
        <v>1938.6</v>
      </c>
      <c r="F66">
        <v>298.2</v>
      </c>
      <c r="G66">
        <v>467.29999999999995</v>
      </c>
    </row>
    <row r="67" spans="2:17" x14ac:dyDescent="0.35">
      <c r="B67" t="s">
        <v>30</v>
      </c>
      <c r="C67">
        <v>2020</v>
      </c>
      <c r="D67" t="s">
        <v>46</v>
      </c>
      <c r="E67">
        <v>2100.5</v>
      </c>
      <c r="F67">
        <v>318.2</v>
      </c>
      <c r="G67">
        <v>474.70000000000005</v>
      </c>
    </row>
    <row r="68" spans="2:17" x14ac:dyDescent="0.35">
      <c r="B68" t="s">
        <v>30</v>
      </c>
      <c r="C68">
        <v>2021</v>
      </c>
      <c r="D68" t="s">
        <v>31</v>
      </c>
      <c r="E68">
        <v>2065.6999999999998</v>
      </c>
      <c r="F68">
        <v>318.7</v>
      </c>
      <c r="G68">
        <v>475.09999999999997</v>
      </c>
    </row>
    <row r="69" spans="2:17" x14ac:dyDescent="0.35">
      <c r="B69" t="s">
        <v>30</v>
      </c>
      <c r="C69">
        <v>2021</v>
      </c>
      <c r="D69" t="s">
        <v>46</v>
      </c>
      <c r="E69">
        <v>2168.1999999999998</v>
      </c>
      <c r="F69">
        <v>336.8</v>
      </c>
      <c r="G69">
        <v>497</v>
      </c>
    </row>
    <row r="70" spans="2:17" x14ac:dyDescent="0.35">
      <c r="B70" t="s">
        <v>30</v>
      </c>
      <c r="C70">
        <v>2022</v>
      </c>
      <c r="D70" t="s">
        <v>31</v>
      </c>
      <c r="E70">
        <v>2153</v>
      </c>
      <c r="F70">
        <v>337.9</v>
      </c>
      <c r="G70">
        <v>499.3</v>
      </c>
    </row>
    <row r="71" spans="2:17" x14ac:dyDescent="0.35">
      <c r="B71" t="s">
        <v>30</v>
      </c>
      <c r="C71">
        <v>2022</v>
      </c>
      <c r="D71" t="s">
        <v>46</v>
      </c>
      <c r="E71">
        <v>2277.1</v>
      </c>
      <c r="F71">
        <v>359.2</v>
      </c>
      <c r="G71">
        <v>524.40000000000009</v>
      </c>
    </row>
    <row r="76" spans="2:17" ht="28.5" x14ac:dyDescent="0.65">
      <c r="B76" s="53" t="s">
        <v>95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</row>
    <row r="77" spans="2:17" x14ac:dyDescent="0.35">
      <c r="B77" s="22" t="s">
        <v>0</v>
      </c>
      <c r="C77" s="22" t="s">
        <v>1</v>
      </c>
      <c r="D77" s="22" t="s">
        <v>2</v>
      </c>
      <c r="E77" s="5" t="s">
        <v>48</v>
      </c>
      <c r="F77" s="5" t="s">
        <v>50</v>
      </c>
      <c r="G77" s="5" t="s">
        <v>51</v>
      </c>
      <c r="N77" t="s">
        <v>63</v>
      </c>
      <c r="O77" t="s">
        <v>88</v>
      </c>
      <c r="P77" t="s">
        <v>89</v>
      </c>
      <c r="Q77" t="s">
        <v>90</v>
      </c>
    </row>
    <row r="78" spans="2:17" x14ac:dyDescent="0.35">
      <c r="B78" t="s">
        <v>33</v>
      </c>
      <c r="C78">
        <v>2017</v>
      </c>
      <c r="D78" t="s">
        <v>31</v>
      </c>
      <c r="E78">
        <v>1713.2</v>
      </c>
      <c r="F78">
        <v>243.5</v>
      </c>
      <c r="G78">
        <v>387.1</v>
      </c>
      <c r="N78">
        <v>2017</v>
      </c>
      <c r="O78" s="4">
        <f>(E79-E78)/E78</f>
        <v>3.1695073546579473E-2</v>
      </c>
      <c r="P78" s="4">
        <f>(F79-F78)/F78</f>
        <v>3.8193018480492745E-2</v>
      </c>
      <c r="Q78" s="4">
        <f>(G79-G78)/G78</f>
        <v>4.6499612503229135E-2</v>
      </c>
    </row>
    <row r="79" spans="2:17" x14ac:dyDescent="0.35">
      <c r="B79" t="s">
        <v>33</v>
      </c>
      <c r="C79">
        <v>2017</v>
      </c>
      <c r="D79" t="s">
        <v>46</v>
      </c>
      <c r="E79">
        <v>1767.5</v>
      </c>
      <c r="F79">
        <v>252.79999999999998</v>
      </c>
      <c r="G79">
        <v>405.1</v>
      </c>
      <c r="N79">
        <v>2018</v>
      </c>
      <c r="O79" s="4">
        <f>(E81-E80)/E80</f>
        <v>-9.7237316250087095E-4</v>
      </c>
      <c r="P79" s="4">
        <f>(F81-F80)/F80</f>
        <v>5.3438113948919543E-2</v>
      </c>
      <c r="Q79" s="4">
        <f>(G81-G80)/G80</f>
        <v>5.4545454545454515E-2</v>
      </c>
    </row>
    <row r="80" spans="2:17" x14ac:dyDescent="0.35">
      <c r="B80" t="s">
        <v>33</v>
      </c>
      <c r="C80">
        <v>2018</v>
      </c>
      <c r="D80" t="s">
        <v>31</v>
      </c>
      <c r="E80">
        <v>1748.3000000000002</v>
      </c>
      <c r="F80">
        <v>254.5</v>
      </c>
      <c r="G80">
        <v>407</v>
      </c>
      <c r="N80">
        <v>2019</v>
      </c>
      <c r="O80" s="4">
        <f>(E83-E82)/E82</f>
        <v>0.12176804448776005</v>
      </c>
      <c r="P80" s="4">
        <f>(F83-F82)/F82</f>
        <v>5.1576994434137206E-2</v>
      </c>
      <c r="Q80" s="4">
        <f>(G83-G82)/G82</f>
        <v>3.2280538783093574E-2</v>
      </c>
    </row>
    <row r="81" spans="2:17" x14ac:dyDescent="0.35">
      <c r="B81" t="s">
        <v>33</v>
      </c>
      <c r="C81">
        <v>2018</v>
      </c>
      <c r="D81" t="s">
        <v>46</v>
      </c>
      <c r="E81">
        <v>1746.6</v>
      </c>
      <c r="F81">
        <v>268.10000000000002</v>
      </c>
      <c r="G81">
        <v>429.2</v>
      </c>
      <c r="N81">
        <v>2020</v>
      </c>
      <c r="O81" s="4">
        <f>(E85-E84)/E84</f>
        <v>9.2525958671738587E-2</v>
      </c>
      <c r="P81" s="4">
        <f>(F85-F84)/F84</f>
        <v>8.7093389296957105E-2</v>
      </c>
      <c r="Q81" s="4">
        <f>(G85-G84)/G84</f>
        <v>3.2952252858103409E-2</v>
      </c>
    </row>
    <row r="82" spans="2:17" x14ac:dyDescent="0.35">
      <c r="B82" t="s">
        <v>33</v>
      </c>
      <c r="C82">
        <v>2019</v>
      </c>
      <c r="D82" t="s">
        <v>31</v>
      </c>
      <c r="E82">
        <v>1744.3000000000002</v>
      </c>
      <c r="F82">
        <v>269.5</v>
      </c>
      <c r="G82">
        <v>430.59999999999997</v>
      </c>
      <c r="J82" s="22"/>
      <c r="N82">
        <v>2021</v>
      </c>
      <c r="O82" s="4">
        <f>(E87-E86)/E86</f>
        <v>5.212207916070586E-2</v>
      </c>
      <c r="P82" s="4">
        <f>(F87-F86)/F86</f>
        <v>5.0352790250160512E-2</v>
      </c>
      <c r="Q82" s="4">
        <f>(G87-G86)/G86</f>
        <v>4.4613710554951162E-2</v>
      </c>
    </row>
    <row r="83" spans="2:17" x14ac:dyDescent="0.35">
      <c r="B83" t="s">
        <v>33</v>
      </c>
      <c r="C83">
        <v>2019</v>
      </c>
      <c r="D83" t="s">
        <v>46</v>
      </c>
      <c r="E83">
        <v>1956.7</v>
      </c>
      <c r="F83">
        <v>283.39999999999998</v>
      </c>
      <c r="G83">
        <v>444.50000000000006</v>
      </c>
      <c r="N83">
        <v>2022</v>
      </c>
      <c r="O83" s="4">
        <f>(E89-E88)/E88</f>
        <v>4.9892532126034624E-2</v>
      </c>
      <c r="P83" s="4">
        <f>(F89-F88)/F88</f>
        <v>7.3882639100030442E-2</v>
      </c>
      <c r="Q83" s="4">
        <f>(G89-G88)/G88</f>
        <v>5.7018453244868338E-2</v>
      </c>
    </row>
    <row r="84" spans="2:17" x14ac:dyDescent="0.35">
      <c r="B84" t="s">
        <v>33</v>
      </c>
      <c r="C84">
        <v>2020</v>
      </c>
      <c r="D84" t="s">
        <v>31</v>
      </c>
      <c r="E84">
        <v>1945.3999999999999</v>
      </c>
      <c r="F84">
        <v>285.89999999999998</v>
      </c>
      <c r="G84">
        <v>446.1</v>
      </c>
    </row>
    <row r="85" spans="2:17" x14ac:dyDescent="0.35">
      <c r="B85" t="s">
        <v>33</v>
      </c>
      <c r="C85">
        <v>2020</v>
      </c>
      <c r="D85" t="s">
        <v>46</v>
      </c>
      <c r="E85">
        <v>2125.4</v>
      </c>
      <c r="F85">
        <v>310.8</v>
      </c>
      <c r="G85">
        <v>460.79999999999995</v>
      </c>
    </row>
    <row r="86" spans="2:17" x14ac:dyDescent="0.35">
      <c r="B86" t="s">
        <v>33</v>
      </c>
      <c r="C86">
        <v>2021</v>
      </c>
      <c r="D86" t="s">
        <v>31</v>
      </c>
      <c r="E86">
        <v>2097</v>
      </c>
      <c r="F86">
        <v>311.79999999999995</v>
      </c>
      <c r="G86">
        <v>459.49999999999994</v>
      </c>
    </row>
    <row r="87" spans="2:17" x14ac:dyDescent="0.35">
      <c r="B87" t="s">
        <v>33</v>
      </c>
      <c r="C87">
        <v>2021</v>
      </c>
      <c r="D87" t="s">
        <v>46</v>
      </c>
      <c r="E87">
        <v>2206.3000000000002</v>
      </c>
      <c r="F87">
        <v>327.5</v>
      </c>
      <c r="G87">
        <v>480</v>
      </c>
    </row>
    <row r="88" spans="2:17" x14ac:dyDescent="0.35">
      <c r="B88" t="s">
        <v>33</v>
      </c>
      <c r="C88">
        <v>2022</v>
      </c>
      <c r="D88" t="s">
        <v>31</v>
      </c>
      <c r="E88">
        <v>2186.6999999999998</v>
      </c>
      <c r="F88">
        <v>328.9</v>
      </c>
      <c r="G88">
        <v>482.3</v>
      </c>
    </row>
    <row r="89" spans="2:17" x14ac:dyDescent="0.35">
      <c r="B89" t="s">
        <v>33</v>
      </c>
      <c r="C89">
        <v>2022</v>
      </c>
      <c r="D89" t="s">
        <v>46</v>
      </c>
      <c r="E89">
        <v>2295.7999999999997</v>
      </c>
      <c r="F89">
        <v>353.2</v>
      </c>
      <c r="G89">
        <v>509.8</v>
      </c>
    </row>
    <row r="93" spans="2:17" ht="28.5" x14ac:dyDescent="0.65">
      <c r="B93" s="53" t="s">
        <v>96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</row>
    <row r="94" spans="2:17" x14ac:dyDescent="0.35">
      <c r="B94" s="22" t="s">
        <v>0</v>
      </c>
      <c r="C94" s="22" t="s">
        <v>1</v>
      </c>
      <c r="D94" s="22" t="s">
        <v>2</v>
      </c>
      <c r="E94" s="5" t="s">
        <v>48</v>
      </c>
      <c r="F94" s="5" t="s">
        <v>50</v>
      </c>
      <c r="G94" s="5" t="s">
        <v>51</v>
      </c>
      <c r="N94" t="s">
        <v>63</v>
      </c>
      <c r="O94" t="s">
        <v>88</v>
      </c>
      <c r="P94" t="s">
        <v>89</v>
      </c>
      <c r="Q94" t="s">
        <v>90</v>
      </c>
    </row>
    <row r="95" spans="2:17" x14ac:dyDescent="0.35">
      <c r="B95" t="s">
        <v>34</v>
      </c>
      <c r="C95">
        <v>2017</v>
      </c>
      <c r="D95" t="s">
        <v>31</v>
      </c>
      <c r="E95">
        <v>1727.2999999999995</v>
      </c>
      <c r="F95">
        <v>248.8</v>
      </c>
      <c r="G95">
        <v>392.30000000000007</v>
      </c>
      <c r="N95">
        <v>2017</v>
      </c>
      <c r="O95" s="4">
        <f>(E96-E95)/E95</f>
        <v>3.9194117987610889E-2</v>
      </c>
      <c r="P95" s="4">
        <f>(F96-F95)/F95</f>
        <v>4.3408360128617408E-2</v>
      </c>
      <c r="Q95" s="4">
        <f>(G96-G95)/G95</f>
        <v>5.0981391791995623E-2</v>
      </c>
    </row>
    <row r="96" spans="2:17" x14ac:dyDescent="0.35">
      <c r="B96" t="s">
        <v>34</v>
      </c>
      <c r="C96">
        <v>2017</v>
      </c>
      <c r="D96" t="s">
        <v>46</v>
      </c>
      <c r="E96">
        <v>1794.9999999999998</v>
      </c>
      <c r="F96">
        <v>259.60000000000002</v>
      </c>
      <c r="G96">
        <v>412.29999999999995</v>
      </c>
      <c r="N96">
        <v>2018</v>
      </c>
      <c r="O96" s="4">
        <f>(E98-E97)/E97</f>
        <v>-9.607281307938852E-3</v>
      </c>
      <c r="P96" s="4">
        <f>(F98-F97)/F97</f>
        <v>6.3315425940138143E-2</v>
      </c>
      <c r="Q96" s="4">
        <f>(G98-G97)/G97</f>
        <v>6.1549601737871114E-2</v>
      </c>
    </row>
    <row r="97" spans="2:17" x14ac:dyDescent="0.35">
      <c r="B97" t="s">
        <v>34</v>
      </c>
      <c r="C97">
        <v>2018</v>
      </c>
      <c r="D97" t="s">
        <v>31</v>
      </c>
      <c r="E97">
        <v>1779.9</v>
      </c>
      <c r="F97">
        <v>260.60000000000002</v>
      </c>
      <c r="G97">
        <v>414.29999999999995</v>
      </c>
      <c r="N97">
        <v>2019</v>
      </c>
      <c r="O97" s="4">
        <f>(E100-E99)/E99</f>
        <v>0.10990076422949714</v>
      </c>
      <c r="P97" s="4">
        <f>(F100-F99)/F99</f>
        <v>4.641957538682992E-2</v>
      </c>
      <c r="Q97" s="4">
        <f>(G100-G99)/G99</f>
        <v>2.8992072480181357E-2</v>
      </c>
    </row>
    <row r="98" spans="2:17" x14ac:dyDescent="0.35">
      <c r="B98" t="s">
        <v>34</v>
      </c>
      <c r="C98">
        <v>2018</v>
      </c>
      <c r="D98" t="s">
        <v>46</v>
      </c>
      <c r="E98">
        <v>1762.7999999999997</v>
      </c>
      <c r="F98">
        <v>277.10000000000002</v>
      </c>
      <c r="G98">
        <v>439.79999999999995</v>
      </c>
      <c r="N98">
        <v>2020</v>
      </c>
      <c r="O98" s="4">
        <f>(E102-E101)/E101</f>
        <v>8.6940836940836971E-2</v>
      </c>
      <c r="P98" s="4">
        <f>(F102-F101)/F101</f>
        <v>7.4616695059625135E-2</v>
      </c>
      <c r="Q98" s="4">
        <f>(G102-G101)/G101</f>
        <v>2.4769837790442943E-2</v>
      </c>
    </row>
    <row r="99" spans="2:17" x14ac:dyDescent="0.35">
      <c r="B99" t="s">
        <v>34</v>
      </c>
      <c r="C99">
        <v>2019</v>
      </c>
      <c r="D99" t="s">
        <v>31</v>
      </c>
      <c r="E99">
        <v>1753.3999999999999</v>
      </c>
      <c r="F99">
        <v>277.89999999999998</v>
      </c>
      <c r="G99">
        <v>441.49999999999994</v>
      </c>
      <c r="J99" s="22"/>
      <c r="N99">
        <v>2021</v>
      </c>
      <c r="O99" s="4">
        <f>(E104-E103)/E103</f>
        <v>5.0276908259089856E-2</v>
      </c>
      <c r="P99" s="4">
        <f>(F104-F103)/F103</f>
        <v>5.4096804808604758E-2</v>
      </c>
      <c r="Q99" s="4">
        <f>(G104-G103)/G103</f>
        <v>4.5191689869351091E-2</v>
      </c>
    </row>
    <row r="100" spans="2:17" x14ac:dyDescent="0.35">
      <c r="B100" t="s">
        <v>34</v>
      </c>
      <c r="C100">
        <v>2019</v>
      </c>
      <c r="D100" t="s">
        <v>46</v>
      </c>
      <c r="E100">
        <v>1946.1000000000001</v>
      </c>
      <c r="F100">
        <v>290.8</v>
      </c>
      <c r="G100">
        <v>454.3</v>
      </c>
      <c r="N100">
        <v>2022</v>
      </c>
      <c r="O100" s="4">
        <f>(E106-E105)/E105</f>
        <v>5.5078088901210742E-2</v>
      </c>
      <c r="P100" s="4">
        <f>(F106-F105)/F105</f>
        <v>6.7284688995215322E-2</v>
      </c>
      <c r="Q100" s="4">
        <f>(G106-G105)/G105</f>
        <v>5.4252498470324345E-2</v>
      </c>
    </row>
    <row r="101" spans="2:17" x14ac:dyDescent="0.35">
      <c r="B101" t="s">
        <v>34</v>
      </c>
      <c r="C101">
        <v>2020</v>
      </c>
      <c r="D101" t="s">
        <v>31</v>
      </c>
      <c r="E101">
        <v>1940.3999999999999</v>
      </c>
      <c r="F101">
        <v>293.5</v>
      </c>
      <c r="G101">
        <v>456.19999999999993</v>
      </c>
    </row>
    <row r="102" spans="2:17" x14ac:dyDescent="0.35">
      <c r="B102" t="s">
        <v>34</v>
      </c>
      <c r="C102">
        <v>2020</v>
      </c>
      <c r="D102" t="s">
        <v>46</v>
      </c>
      <c r="E102">
        <v>2109.1</v>
      </c>
      <c r="F102">
        <v>315.39999999999998</v>
      </c>
      <c r="G102">
        <v>467.5</v>
      </c>
    </row>
    <row r="103" spans="2:17" x14ac:dyDescent="0.35">
      <c r="B103" t="s">
        <v>34</v>
      </c>
      <c r="C103">
        <v>2021</v>
      </c>
      <c r="D103" t="s">
        <v>31</v>
      </c>
      <c r="E103">
        <v>2076.5</v>
      </c>
      <c r="F103">
        <v>316.10000000000002</v>
      </c>
      <c r="G103">
        <v>466.9</v>
      </c>
    </row>
    <row r="104" spans="2:17" x14ac:dyDescent="0.35">
      <c r="B104" t="s">
        <v>34</v>
      </c>
      <c r="C104">
        <v>2021</v>
      </c>
      <c r="D104" t="s">
        <v>46</v>
      </c>
      <c r="E104">
        <v>2180.9</v>
      </c>
      <c r="F104">
        <v>333.2</v>
      </c>
      <c r="G104">
        <v>488</v>
      </c>
    </row>
    <row r="105" spans="2:17" x14ac:dyDescent="0.35">
      <c r="B105" t="s">
        <v>34</v>
      </c>
      <c r="C105">
        <v>2022</v>
      </c>
      <c r="D105" t="s">
        <v>31</v>
      </c>
      <c r="E105">
        <v>2164.1999999999998</v>
      </c>
      <c r="F105">
        <v>334.4</v>
      </c>
      <c r="G105">
        <v>490.29999999999995</v>
      </c>
    </row>
    <row r="106" spans="2:17" x14ac:dyDescent="0.35">
      <c r="B106" t="s">
        <v>34</v>
      </c>
      <c r="C106">
        <v>2022</v>
      </c>
      <c r="D106" t="s">
        <v>46</v>
      </c>
      <c r="E106">
        <v>2283.4</v>
      </c>
      <c r="F106">
        <v>356.9</v>
      </c>
      <c r="G106">
        <v>516.9</v>
      </c>
    </row>
  </sheetData>
  <mergeCells count="8">
    <mergeCell ref="B58:Q58"/>
    <mergeCell ref="B76:Q76"/>
    <mergeCell ref="B93:Q93"/>
    <mergeCell ref="B3:Q3"/>
    <mergeCell ref="B2:Q2"/>
    <mergeCell ref="B21:Q21"/>
    <mergeCell ref="B39:Q39"/>
    <mergeCell ref="B57:Q57"/>
  </mergeCells>
  <phoneticPr fontId="18" type="noConversion"/>
  <pageMargins left="0.7" right="0.7" top="0.75" bottom="0.75" header="0.3" footer="0.3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B749-7D2D-43AC-8110-0E5F290CD532}">
  <dimension ref="A1:N105"/>
  <sheetViews>
    <sheetView topLeftCell="A77" workbookViewId="0">
      <selection activeCell="B91" sqref="B91:J91"/>
    </sheetView>
  </sheetViews>
  <sheetFormatPr defaultRowHeight="14.5" x14ac:dyDescent="0.35"/>
  <cols>
    <col min="1" max="1" width="22.6328125" bestFit="1" customWidth="1"/>
    <col min="2" max="2" width="9" bestFit="1" customWidth="1"/>
    <col min="3" max="3" width="7" bestFit="1" customWidth="1"/>
    <col min="4" max="4" width="7.81640625" bestFit="1" customWidth="1"/>
    <col min="5" max="5" width="7.54296875" bestFit="1" customWidth="1"/>
    <col min="6" max="6" width="11.6328125" bestFit="1" customWidth="1"/>
    <col min="7" max="7" width="17.1796875" bestFit="1" customWidth="1"/>
    <col min="8" max="8" width="14" bestFit="1" customWidth="1"/>
    <col min="9" max="9" width="16.36328125" bestFit="1" customWidth="1"/>
    <col min="10" max="10" width="16.08984375" bestFit="1" customWidth="1"/>
    <col min="11" max="11" width="13.36328125" bestFit="1" customWidth="1"/>
    <col min="12" max="12" width="15.36328125" bestFit="1" customWidth="1"/>
    <col min="13" max="13" width="11.08984375" bestFit="1" customWidth="1"/>
    <col min="14" max="14" width="9.81640625" bestFit="1" customWidth="1"/>
  </cols>
  <sheetData>
    <row r="1" spans="1:14" ht="20" x14ac:dyDescent="0.35">
      <c r="A1" s="58" t="s">
        <v>98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15.5" x14ac:dyDescent="0.3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5.5" x14ac:dyDescent="0.35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5.5" x14ac:dyDescent="0.35">
      <c r="A4" s="23"/>
      <c r="B4" s="24"/>
      <c r="C4" s="61" t="s">
        <v>103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4" ht="15.5" x14ac:dyDescent="0.35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5.5" x14ac:dyDescent="0.3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7.5" x14ac:dyDescent="0.35">
      <c r="A7" s="59" t="s">
        <v>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</row>
    <row r="8" spans="1:14" ht="15.5" x14ac:dyDescent="0.35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.5" x14ac:dyDescent="0.35">
      <c r="A9" s="60" t="s">
        <v>100</v>
      </c>
      <c r="B9" s="60"/>
      <c r="C9" s="60"/>
      <c r="D9" s="60"/>
      <c r="E9" s="60"/>
      <c r="F9" s="24"/>
      <c r="G9" s="24"/>
      <c r="H9" s="24"/>
      <c r="I9" s="24"/>
      <c r="J9" s="24"/>
      <c r="K9" s="24"/>
      <c r="L9" s="24"/>
      <c r="M9" s="24"/>
      <c r="N9" s="24"/>
    </row>
    <row r="10" spans="1:14" ht="15.5" x14ac:dyDescent="0.35">
      <c r="A10" s="60" t="s">
        <v>101</v>
      </c>
      <c r="B10" s="60"/>
      <c r="C10" s="60"/>
      <c r="D10" s="60"/>
      <c r="E10" s="60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.5" x14ac:dyDescent="0.3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6"/>
      <c r="M11" s="26"/>
      <c r="N11" s="23"/>
    </row>
    <row r="12" spans="1:14" ht="18" x14ac:dyDescent="0.4">
      <c r="A12" s="27" t="s">
        <v>86</v>
      </c>
      <c r="B12" s="28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</row>
    <row r="13" spans="1:14" x14ac:dyDescent="0.35">
      <c r="A13" s="56" t="s">
        <v>104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</row>
    <row r="14" spans="1:14" ht="17.5" x14ac:dyDescent="0.35">
      <c r="A14" s="57" t="s">
        <v>105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1:14" ht="35" x14ac:dyDescent="0.35">
      <c r="A15" s="30" t="s">
        <v>106</v>
      </c>
      <c r="B15" s="31" t="s">
        <v>107</v>
      </c>
      <c r="C15" s="31" t="s">
        <v>108</v>
      </c>
      <c r="D15" s="31" t="s">
        <v>109</v>
      </c>
      <c r="E15" s="31" t="s">
        <v>110</v>
      </c>
      <c r="F15" s="31" t="s">
        <v>111</v>
      </c>
      <c r="G15" s="31" t="s">
        <v>112</v>
      </c>
      <c r="H15" s="31" t="s">
        <v>113</v>
      </c>
      <c r="I15" s="31" t="s">
        <v>114</v>
      </c>
      <c r="J15" s="31" t="s">
        <v>115</v>
      </c>
      <c r="K15" s="31" t="s">
        <v>116</v>
      </c>
      <c r="L15" s="31" t="s">
        <v>117</v>
      </c>
      <c r="M15" s="31" t="s">
        <v>118</v>
      </c>
      <c r="N15" s="31" t="s">
        <v>83</v>
      </c>
    </row>
    <row r="16" spans="1:14" ht="15.5" x14ac:dyDescent="0.35">
      <c r="A16" s="32" t="s">
        <v>119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spans="1:14" ht="15.5" x14ac:dyDescent="0.35">
      <c r="A17" s="34" t="s">
        <v>120</v>
      </c>
      <c r="B17" s="35">
        <v>23097.82128634103</v>
      </c>
      <c r="C17" s="35">
        <v>17134.221652653792</v>
      </c>
      <c r="D17" s="35">
        <v>24391.22860384245</v>
      </c>
      <c r="E17" s="35">
        <v>28431.99353711386</v>
      </c>
      <c r="F17" s="35">
        <v>40659.068498646011</v>
      </c>
      <c r="G17" s="35">
        <v>34353.850793896505</v>
      </c>
      <c r="H17" s="35">
        <v>33074.491674390949</v>
      </c>
      <c r="I17" s="35">
        <v>40926.853933740225</v>
      </c>
      <c r="J17" s="35">
        <v>52165.863453700425</v>
      </c>
      <c r="K17" s="35">
        <v>55990.924602459359</v>
      </c>
      <c r="L17" s="35">
        <v>48033.558892131798</v>
      </c>
      <c r="M17" s="35">
        <v>61518.692284107237</v>
      </c>
      <c r="N17" s="36">
        <f>SUM(B17:M17)</f>
        <v>459778.56921302364</v>
      </c>
    </row>
    <row r="18" spans="1:14" ht="15.5" x14ac:dyDescent="0.35">
      <c r="A18" s="34" t="s">
        <v>121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6"/>
    </row>
    <row r="19" spans="1:14" x14ac:dyDescent="0.35">
      <c r="A19" s="37" t="s">
        <v>122</v>
      </c>
      <c r="B19" s="35">
        <v>3028.6633525381358</v>
      </c>
      <c r="C19" s="35">
        <v>4080.3823475472832</v>
      </c>
      <c r="D19" s="35">
        <v>3267.7466468534162</v>
      </c>
      <c r="E19" s="35">
        <v>2565.3385494470199</v>
      </c>
      <c r="F19" s="35">
        <v>3400.678271558294</v>
      </c>
      <c r="G19" s="35">
        <v>4559.2961006584646</v>
      </c>
      <c r="H19" s="35">
        <v>4185.4035102476919</v>
      </c>
      <c r="I19" s="35">
        <v>4774.5681477176677</v>
      </c>
      <c r="J19" s="35">
        <v>5254.2569703076897</v>
      </c>
      <c r="K19" s="35">
        <v>5572.3050557540673</v>
      </c>
      <c r="L19" s="35">
        <v>6807.5725751916771</v>
      </c>
      <c r="M19" s="35">
        <v>6256.2470244764118</v>
      </c>
      <c r="N19" s="36">
        <f t="shared" ref="N19:N29" si="0">SUM(B19:M19)</f>
        <v>53752.458552297823</v>
      </c>
    </row>
    <row r="20" spans="1:14" x14ac:dyDescent="0.35">
      <c r="A20" s="38" t="s">
        <v>123</v>
      </c>
      <c r="B20" s="35">
        <v>0.40333380000000002</v>
      </c>
      <c r="C20" s="35">
        <v>0</v>
      </c>
      <c r="D20" s="35">
        <v>101.93460759999999</v>
      </c>
      <c r="E20" s="35">
        <v>115.6366644653536</v>
      </c>
      <c r="F20" s="35">
        <v>109.04839910000001</v>
      </c>
      <c r="G20" s="35">
        <v>230.52867366527801</v>
      </c>
      <c r="H20" s="35">
        <v>399.56265551059329</v>
      </c>
      <c r="I20" s="35">
        <v>473.67174739591036</v>
      </c>
      <c r="J20" s="35">
        <v>2016.7760473986834</v>
      </c>
      <c r="K20" s="35">
        <v>513.69702615383403</v>
      </c>
      <c r="L20" s="35">
        <v>357.41354279339203</v>
      </c>
      <c r="M20" s="35">
        <v>630.95253884394833</v>
      </c>
      <c r="N20" s="36">
        <f t="shared" si="0"/>
        <v>4949.6252367269935</v>
      </c>
    </row>
    <row r="21" spans="1:14" x14ac:dyDescent="0.35">
      <c r="A21" s="37" t="s">
        <v>124</v>
      </c>
      <c r="B21" s="35">
        <v>63.385743953439999</v>
      </c>
      <c r="C21" s="35">
        <v>86.609988647199998</v>
      </c>
      <c r="D21" s="35">
        <v>464.45646922783999</v>
      </c>
      <c r="E21" s="35">
        <v>488.29294905733002</v>
      </c>
      <c r="F21" s="35">
        <v>422.69160846475</v>
      </c>
      <c r="G21" s="35">
        <v>287.53547600000002</v>
      </c>
      <c r="H21" s="35">
        <v>472.80765559999998</v>
      </c>
      <c r="I21" s="35">
        <v>540.05155439999999</v>
      </c>
      <c r="J21" s="35">
        <v>272.71709980000003</v>
      </c>
      <c r="K21" s="35">
        <v>170.25713480000002</v>
      </c>
      <c r="L21" s="35">
        <v>425.83151190000001</v>
      </c>
      <c r="M21" s="35">
        <v>149.4064343</v>
      </c>
      <c r="N21" s="36">
        <f t="shared" si="0"/>
        <v>3844.0436261505602</v>
      </c>
    </row>
    <row r="22" spans="1:14" x14ac:dyDescent="0.35">
      <c r="A22" s="37" t="s">
        <v>125</v>
      </c>
      <c r="B22" s="35">
        <v>2.5390999999999999E-3</v>
      </c>
      <c r="C22" s="35">
        <v>1.0004E-3</v>
      </c>
      <c r="D22" s="35">
        <v>0</v>
      </c>
      <c r="E22" s="35">
        <v>2.7309000000000001E-3</v>
      </c>
      <c r="F22" s="35">
        <v>0</v>
      </c>
      <c r="G22" s="35">
        <v>0</v>
      </c>
      <c r="H22" s="35">
        <v>3.5579999999999997E-4</v>
      </c>
      <c r="I22" s="35">
        <v>0</v>
      </c>
      <c r="J22" s="35">
        <v>0</v>
      </c>
      <c r="K22" s="35">
        <v>0</v>
      </c>
      <c r="L22" s="35">
        <v>2.0701000000000001E-3</v>
      </c>
      <c r="M22" s="35">
        <v>0</v>
      </c>
      <c r="N22" s="36">
        <f t="shared" si="0"/>
        <v>8.6963000000000006E-3</v>
      </c>
    </row>
    <row r="23" spans="1:14" x14ac:dyDescent="0.35">
      <c r="A23" s="38" t="s">
        <v>126</v>
      </c>
      <c r="B23" s="35">
        <v>0</v>
      </c>
      <c r="C23" s="35">
        <v>0</v>
      </c>
      <c r="D23" s="35">
        <v>2.6053000000000001E-3</v>
      </c>
      <c r="E23" s="35">
        <v>9.3752490000000002</v>
      </c>
      <c r="F23" s="35">
        <v>0</v>
      </c>
      <c r="G23" s="35">
        <v>0.62245360000000005</v>
      </c>
      <c r="H23" s="35">
        <v>2.0913014999999997</v>
      </c>
      <c r="I23" s="35">
        <v>1.8352500000000001E-2</v>
      </c>
      <c r="J23" s="35">
        <v>2.5693500000000001E-2</v>
      </c>
      <c r="K23" s="35">
        <v>0</v>
      </c>
      <c r="L23" s="35">
        <v>0</v>
      </c>
      <c r="M23" s="35">
        <v>1.8431000000000001E-3</v>
      </c>
      <c r="N23" s="36">
        <f t="shared" si="0"/>
        <v>12.137498500000001</v>
      </c>
    </row>
    <row r="24" spans="1:14" x14ac:dyDescent="0.35">
      <c r="A24" s="37" t="s">
        <v>127</v>
      </c>
      <c r="B24" s="35">
        <v>83.844893667091327</v>
      </c>
      <c r="C24" s="35">
        <v>74.723229063232765</v>
      </c>
      <c r="D24" s="35">
        <v>199.16736699999998</v>
      </c>
      <c r="E24" s="35">
        <v>394.9717086</v>
      </c>
      <c r="F24" s="35">
        <v>11.737663100000002</v>
      </c>
      <c r="G24" s="35">
        <v>7.5919416999999996</v>
      </c>
      <c r="H24" s="35">
        <v>35.406694200000004</v>
      </c>
      <c r="I24" s="35">
        <v>9.2796564000000004</v>
      </c>
      <c r="J24" s="35">
        <v>797.02638594386258</v>
      </c>
      <c r="K24" s="35">
        <v>242.43263504394091</v>
      </c>
      <c r="L24" s="35">
        <v>67.237493900000004</v>
      </c>
      <c r="M24" s="35">
        <v>36.623313100000004</v>
      </c>
      <c r="N24" s="36">
        <f>SUM(B24:M24)</f>
        <v>1960.0429817181275</v>
      </c>
    </row>
    <row r="25" spans="1:14" x14ac:dyDescent="0.35">
      <c r="A25" s="37" t="s">
        <v>128</v>
      </c>
      <c r="B25" s="35">
        <v>735.3166190000004</v>
      </c>
      <c r="C25" s="35">
        <v>407.72031679999986</v>
      </c>
      <c r="D25" s="35">
        <v>443.65466209999983</v>
      </c>
      <c r="E25" s="35">
        <v>747.21747595846989</v>
      </c>
      <c r="F25" s="35">
        <v>886.39726012439451</v>
      </c>
      <c r="G25" s="35">
        <v>922.99869749999982</v>
      </c>
      <c r="H25" s="35">
        <v>1127.8781033194709</v>
      </c>
      <c r="I25" s="35">
        <v>1370.4986952698562</v>
      </c>
      <c r="J25" s="35">
        <v>1344.134791641525</v>
      </c>
      <c r="K25" s="35">
        <v>1452.6090646475609</v>
      </c>
      <c r="L25" s="35">
        <v>1385.0956779623809</v>
      </c>
      <c r="M25" s="35">
        <v>1346.7315984108504</v>
      </c>
      <c r="N25" s="36">
        <f>SUM(B25:M25)</f>
        <v>12170.252962734508</v>
      </c>
    </row>
    <row r="26" spans="1:14" x14ac:dyDescent="0.35">
      <c r="A26" s="37" t="s">
        <v>129</v>
      </c>
      <c r="B26" s="35">
        <v>555.10848119890773</v>
      </c>
      <c r="C26" s="35">
        <v>639.86338558528996</v>
      </c>
      <c r="D26" s="35">
        <v>964.77656156002297</v>
      </c>
      <c r="E26" s="35">
        <v>2459.7076130893511</v>
      </c>
      <c r="F26" s="35">
        <v>1005.471106441974</v>
      </c>
      <c r="G26" s="35">
        <v>493.74213078692128</v>
      </c>
      <c r="H26" s="35">
        <v>328.048935753482</v>
      </c>
      <c r="I26" s="35">
        <v>495.96970273396511</v>
      </c>
      <c r="J26" s="35">
        <v>1138.160132364475</v>
      </c>
      <c r="K26" s="35">
        <v>949.73541854747407</v>
      </c>
      <c r="L26" s="35">
        <v>2109.5523972849037</v>
      </c>
      <c r="M26" s="35">
        <v>3171.5482803821787</v>
      </c>
      <c r="N26" s="36">
        <f t="shared" si="0"/>
        <v>14311.684145728948</v>
      </c>
    </row>
    <row r="27" spans="1:14" x14ac:dyDescent="0.35">
      <c r="A27" s="37" t="s">
        <v>130</v>
      </c>
      <c r="B27" s="35">
        <v>191.87441810000001</v>
      </c>
      <c r="C27" s="35">
        <v>180.86787529999998</v>
      </c>
      <c r="D27" s="35">
        <v>274.95764009999999</v>
      </c>
      <c r="E27" s="35">
        <v>290.28508020000004</v>
      </c>
      <c r="F27" s="35">
        <v>154.8337665</v>
      </c>
      <c r="G27" s="35">
        <v>195.88350410000001</v>
      </c>
      <c r="H27" s="35">
        <v>196.86051840000002</v>
      </c>
      <c r="I27" s="35">
        <v>293.70641760000001</v>
      </c>
      <c r="J27" s="35">
        <v>464.99006789999999</v>
      </c>
      <c r="K27" s="35">
        <v>670.91220650000014</v>
      </c>
      <c r="L27" s="35">
        <v>697.81682327188003</v>
      </c>
      <c r="M27" s="35">
        <v>712.22570957661014</v>
      </c>
      <c r="N27" s="36">
        <f>SUM(B27:M27)</f>
        <v>4325.2140275484899</v>
      </c>
    </row>
    <row r="28" spans="1:14" x14ac:dyDescent="0.35">
      <c r="A28" s="37" t="s">
        <v>131</v>
      </c>
      <c r="B28" s="35">
        <v>386.73427810000004</v>
      </c>
      <c r="C28" s="35">
        <v>1138.4077264</v>
      </c>
      <c r="D28" s="35">
        <v>501.11749720000006</v>
      </c>
      <c r="E28" s="35">
        <v>630.69386889999998</v>
      </c>
      <c r="F28" s="35">
        <v>592.57781039999998</v>
      </c>
      <c r="G28" s="35">
        <v>482.70316490000005</v>
      </c>
      <c r="H28" s="35">
        <v>519.7697786</v>
      </c>
      <c r="I28" s="35">
        <v>495.57564509999997</v>
      </c>
      <c r="J28" s="35">
        <v>500.87192909999993</v>
      </c>
      <c r="K28" s="35">
        <v>307.32140499999997</v>
      </c>
      <c r="L28" s="35">
        <v>150.2582668</v>
      </c>
      <c r="M28" s="35">
        <v>703.62129870000001</v>
      </c>
      <c r="N28" s="36">
        <f>SUM(B28:M28)</f>
        <v>6409.6526691999989</v>
      </c>
    </row>
    <row r="29" spans="1:14" x14ac:dyDescent="0.35">
      <c r="A29" s="37" t="s">
        <v>132</v>
      </c>
      <c r="B29" s="35">
        <v>628.77301123375003</v>
      </c>
      <c r="C29" s="35">
        <v>478.89013616</v>
      </c>
      <c r="D29" s="35">
        <v>762.24358941170863</v>
      </c>
      <c r="E29" s="35">
        <v>872.57490125112611</v>
      </c>
      <c r="F29" s="35">
        <v>476.28246573631679</v>
      </c>
      <c r="G29" s="35">
        <v>369.22605322490006</v>
      </c>
      <c r="H29" s="35">
        <v>523.00391556361592</v>
      </c>
      <c r="I29" s="35">
        <v>388.158773977088</v>
      </c>
      <c r="J29" s="35">
        <v>494.1323029701984</v>
      </c>
      <c r="K29" s="35">
        <v>825.28410596840001</v>
      </c>
      <c r="L29" s="35">
        <v>931.25181105282354</v>
      </c>
      <c r="M29" s="35">
        <v>944.72380576032697</v>
      </c>
      <c r="N29" s="36">
        <f t="shared" si="0"/>
        <v>7694.5448723102536</v>
      </c>
    </row>
    <row r="30" spans="1:14" ht="15.5" x14ac:dyDescent="0.35">
      <c r="A30" s="39" t="s">
        <v>133</v>
      </c>
      <c r="B30" s="40">
        <f t="shared" ref="B30:N30" si="1">SUM(B19:B29)</f>
        <v>5674.1066706913252</v>
      </c>
      <c r="C30" s="40">
        <f t="shared" si="1"/>
        <v>7087.4660059030057</v>
      </c>
      <c r="D30" s="40">
        <f t="shared" si="1"/>
        <v>6980.0576463529887</v>
      </c>
      <c r="E30" s="40">
        <f t="shared" si="1"/>
        <v>8574.0967908686507</v>
      </c>
      <c r="F30" s="40">
        <f t="shared" si="1"/>
        <v>7059.7183514257304</v>
      </c>
      <c r="G30" s="40">
        <f t="shared" si="1"/>
        <v>7550.1281961355635</v>
      </c>
      <c r="H30" s="40">
        <f t="shared" si="1"/>
        <v>7790.8334244948528</v>
      </c>
      <c r="I30" s="40">
        <f t="shared" si="1"/>
        <v>8841.4986930944888</v>
      </c>
      <c r="J30" s="40">
        <f t="shared" si="1"/>
        <v>12283.091420926434</v>
      </c>
      <c r="K30" s="40">
        <f t="shared" si="1"/>
        <v>10704.554052415277</v>
      </c>
      <c r="L30" s="40">
        <f t="shared" si="1"/>
        <v>12932.032170257056</v>
      </c>
      <c r="M30" s="40">
        <f t="shared" si="1"/>
        <v>13952.081846650328</v>
      </c>
      <c r="N30" s="40">
        <f t="shared" si="1"/>
        <v>109429.66526921571</v>
      </c>
    </row>
    <row r="31" spans="1:14" ht="15.5" x14ac:dyDescent="0.35">
      <c r="A31" s="41" t="s">
        <v>134</v>
      </c>
      <c r="B31" s="40">
        <f>+B30+B17</f>
        <v>28771.927957032356</v>
      </c>
      <c r="C31" s="40">
        <f>+C30+C17</f>
        <v>24221.687658556799</v>
      </c>
      <c r="D31" s="40">
        <f>+D30+D17</f>
        <v>31371.286250195437</v>
      </c>
      <c r="E31" s="40">
        <f>+E30+E17</f>
        <v>37006.090327982514</v>
      </c>
      <c r="F31" s="40">
        <f>+F30+F17</f>
        <v>47718.786850071745</v>
      </c>
      <c r="G31" s="40">
        <f t="shared" ref="G31:N31" si="2">+G17+G30</f>
        <v>41903.978990032068</v>
      </c>
      <c r="H31" s="40">
        <f t="shared" si="2"/>
        <v>40865.325098885805</v>
      </c>
      <c r="I31" s="40">
        <f t="shared" si="2"/>
        <v>49768.352626834712</v>
      </c>
      <c r="J31" s="40">
        <f t="shared" si="2"/>
        <v>64448.954874626856</v>
      </c>
      <c r="K31" s="40">
        <f t="shared" si="2"/>
        <v>66695.478654874634</v>
      </c>
      <c r="L31" s="40">
        <f t="shared" si="2"/>
        <v>60965.591062388856</v>
      </c>
      <c r="M31" s="40">
        <f t="shared" si="2"/>
        <v>75470.774130757563</v>
      </c>
      <c r="N31" s="40">
        <f t="shared" si="2"/>
        <v>569208.23448223935</v>
      </c>
    </row>
    <row r="37" spans="1:14" ht="18" x14ac:dyDescent="0.4">
      <c r="A37" s="27" t="s">
        <v>87</v>
      </c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35">
      <c r="A38" s="56" t="s">
        <v>104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</row>
    <row r="39" spans="1:14" ht="17.5" x14ac:dyDescent="0.35">
      <c r="A39" s="57" t="s">
        <v>105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14" ht="35" x14ac:dyDescent="0.35">
      <c r="A40" s="30" t="s">
        <v>106</v>
      </c>
      <c r="B40" s="31" t="s">
        <v>107</v>
      </c>
      <c r="C40" s="31" t="s">
        <v>108</v>
      </c>
      <c r="D40" s="31" t="s">
        <v>109</v>
      </c>
      <c r="E40" s="31" t="s">
        <v>110</v>
      </c>
      <c r="F40" s="31" t="s">
        <v>111</v>
      </c>
      <c r="G40" s="31" t="s">
        <v>112</v>
      </c>
      <c r="H40" s="31" t="s">
        <v>113</v>
      </c>
      <c r="I40" s="31" t="s">
        <v>114</v>
      </c>
      <c r="J40" s="31" t="s">
        <v>115</v>
      </c>
      <c r="K40" s="31" t="s">
        <v>116</v>
      </c>
      <c r="L40" s="31" t="s">
        <v>117</v>
      </c>
      <c r="M40" s="31" t="s">
        <v>118</v>
      </c>
      <c r="N40" s="31" t="s">
        <v>83</v>
      </c>
    </row>
    <row r="41" spans="1:14" ht="15.5" x14ac:dyDescent="0.35">
      <c r="A41" s="32" t="s">
        <v>119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</row>
    <row r="42" spans="1:14" ht="15.5" x14ac:dyDescent="0.35">
      <c r="A42" s="34" t="s">
        <v>120</v>
      </c>
      <c r="B42" s="35">
        <v>63309.498622749867</v>
      </c>
      <c r="C42" s="35">
        <v>60800.383481587211</v>
      </c>
      <c r="D42" s="35">
        <v>61073.298999169296</v>
      </c>
      <c r="E42" s="35">
        <v>59460.950438057756</v>
      </c>
      <c r="F42" s="35">
        <v>67310.659830633638</v>
      </c>
      <c r="G42" s="35">
        <v>69109.876194440018</v>
      </c>
      <c r="H42" s="35">
        <v>72054.19693085934</v>
      </c>
      <c r="I42" s="35">
        <v>79009.388695268004</v>
      </c>
      <c r="J42" s="35">
        <v>81771.141778992853</v>
      </c>
      <c r="K42" s="35">
        <v>86692.515382787504</v>
      </c>
      <c r="L42" s="35">
        <v>87441.416368947481</v>
      </c>
      <c r="M42" s="35">
        <v>113228.86524779514</v>
      </c>
      <c r="N42" s="36">
        <f>SUM(B42:M42)</f>
        <v>901262.19197128818</v>
      </c>
    </row>
    <row r="43" spans="1:14" ht="15.5" x14ac:dyDescent="0.35">
      <c r="A43" s="34" t="s">
        <v>121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</row>
    <row r="44" spans="1:14" x14ac:dyDescent="0.35">
      <c r="A44" s="37" t="s">
        <v>122</v>
      </c>
      <c r="B44" s="35">
        <v>4331.0805045535817</v>
      </c>
      <c r="C44" s="35">
        <v>3901.8497085357071</v>
      </c>
      <c r="D44" s="35">
        <v>5595.704520158647</v>
      </c>
      <c r="E44" s="35">
        <v>6495.7335331540489</v>
      </c>
      <c r="F44" s="35">
        <v>8248.4288123209008</v>
      </c>
      <c r="G44" s="35">
        <v>7704.7650736206797</v>
      </c>
      <c r="H44" s="35">
        <v>9772.1868439781229</v>
      </c>
      <c r="I44" s="35">
        <v>10281.785349314856</v>
      </c>
      <c r="J44" s="35">
        <v>9846.5423623025563</v>
      </c>
      <c r="K44" s="35">
        <v>7748.1723591628743</v>
      </c>
      <c r="L44" s="35">
        <v>7419.0823997762782</v>
      </c>
      <c r="M44" s="35">
        <v>10123.066217309477</v>
      </c>
      <c r="N44" s="36">
        <f t="shared" ref="N44:N54" si="3">SUM(B44:M44)</f>
        <v>91468.397684187716</v>
      </c>
    </row>
    <row r="45" spans="1:14" x14ac:dyDescent="0.35">
      <c r="A45" s="38" t="s">
        <v>123</v>
      </c>
      <c r="B45" s="35">
        <v>349.4550366345606</v>
      </c>
      <c r="C45" s="35">
        <v>0</v>
      </c>
      <c r="D45" s="35">
        <v>0</v>
      </c>
      <c r="E45" s="35">
        <v>0.14789540000000001</v>
      </c>
      <c r="F45" s="35">
        <v>0</v>
      </c>
      <c r="G45" s="35">
        <v>592.97964412445003</v>
      </c>
      <c r="H45" s="35">
        <v>2753.5997885095185</v>
      </c>
      <c r="I45" s="35">
        <v>198.40835123955645</v>
      </c>
      <c r="J45" s="35">
        <v>0.13733629999999999</v>
      </c>
      <c r="K45" s="35">
        <v>0</v>
      </c>
      <c r="L45" s="35">
        <v>7.4936600000000006E-2</v>
      </c>
      <c r="M45" s="35">
        <v>0</v>
      </c>
      <c r="N45" s="36">
        <f t="shared" si="3"/>
        <v>3894.802988808085</v>
      </c>
    </row>
    <row r="46" spans="1:14" x14ac:dyDescent="0.35">
      <c r="A46" s="37" t="s">
        <v>124</v>
      </c>
      <c r="B46" s="35">
        <v>169.3745448352459</v>
      </c>
      <c r="C46" s="35">
        <v>179.870949</v>
      </c>
      <c r="D46" s="35">
        <v>184.24156441702931</v>
      </c>
      <c r="E46" s="35">
        <v>0</v>
      </c>
      <c r="F46" s="35">
        <v>0</v>
      </c>
      <c r="G46" s="35">
        <v>0</v>
      </c>
      <c r="H46" s="35">
        <v>0</v>
      </c>
      <c r="I46" s="35">
        <v>121.39173630000001</v>
      </c>
      <c r="J46" s="35">
        <v>0</v>
      </c>
      <c r="K46" s="35">
        <v>0</v>
      </c>
      <c r="L46" s="35">
        <v>0</v>
      </c>
      <c r="M46" s="35">
        <v>843.91668989999994</v>
      </c>
      <c r="N46" s="36">
        <f t="shared" si="3"/>
        <v>1498.7954844522751</v>
      </c>
    </row>
    <row r="47" spans="1:14" x14ac:dyDescent="0.35">
      <c r="A47" s="37" t="s">
        <v>125</v>
      </c>
      <c r="B47" s="35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6">
        <f t="shared" si="3"/>
        <v>0</v>
      </c>
    </row>
    <row r="48" spans="1:14" x14ac:dyDescent="0.35">
      <c r="A48" s="38" t="s">
        <v>126</v>
      </c>
      <c r="B48" s="35">
        <v>0</v>
      </c>
      <c r="C48" s="35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6">
        <f t="shared" si="3"/>
        <v>0</v>
      </c>
    </row>
    <row r="49" spans="1:14" x14ac:dyDescent="0.35">
      <c r="A49" s="37" t="s">
        <v>127</v>
      </c>
      <c r="B49" s="35">
        <v>10.8569897</v>
      </c>
      <c r="C49" s="35">
        <v>19.542610300000003</v>
      </c>
      <c r="D49" s="35">
        <v>6.5960564000000002</v>
      </c>
      <c r="E49" s="35">
        <v>4.8623181000000004</v>
      </c>
      <c r="F49" s="35">
        <v>20.7515882</v>
      </c>
      <c r="G49" s="35">
        <v>21.584827699999998</v>
      </c>
      <c r="H49" s="35">
        <v>10.921708600000001</v>
      </c>
      <c r="I49" s="35">
        <v>35.7928821</v>
      </c>
      <c r="J49" s="35">
        <v>30.897298999999997</v>
      </c>
      <c r="K49" s="35">
        <v>17.471872600000001</v>
      </c>
      <c r="L49" s="35">
        <v>35.573634900000002</v>
      </c>
      <c r="M49" s="35">
        <v>38.134251599999999</v>
      </c>
      <c r="N49" s="36">
        <f t="shared" si="3"/>
        <v>252.98603920000002</v>
      </c>
    </row>
    <row r="50" spans="1:14" x14ac:dyDescent="0.35">
      <c r="A50" s="37" t="s">
        <v>128</v>
      </c>
      <c r="B50" s="35">
        <v>1866.1582330269998</v>
      </c>
      <c r="C50" s="35">
        <v>1665.0693524753249</v>
      </c>
      <c r="D50" s="35">
        <v>1332.6023745</v>
      </c>
      <c r="E50" s="35">
        <v>1368.84348327055</v>
      </c>
      <c r="F50" s="35">
        <v>1584.2582096367328</v>
      </c>
      <c r="G50" s="35">
        <v>1559.2016386314169</v>
      </c>
      <c r="H50" s="35">
        <v>2181.2363866461196</v>
      </c>
      <c r="I50" s="35">
        <v>1442.3871379244001</v>
      </c>
      <c r="J50" s="35">
        <v>2130.4848044455671</v>
      </c>
      <c r="K50" s="35">
        <v>1053.875039</v>
      </c>
      <c r="L50" s="35">
        <v>1459.0109165000001</v>
      </c>
      <c r="M50" s="35">
        <v>2061.1262651000002</v>
      </c>
      <c r="N50" s="36">
        <f t="shared" si="3"/>
        <v>19704.253841157111</v>
      </c>
    </row>
    <row r="51" spans="1:14" x14ac:dyDescent="0.35">
      <c r="A51" s="37" t="s">
        <v>129</v>
      </c>
      <c r="B51" s="35">
        <v>2288.4191319281085</v>
      </c>
      <c r="C51" s="35">
        <v>1770.472859400174</v>
      </c>
      <c r="D51" s="35">
        <v>1770.7152182333036</v>
      </c>
      <c r="E51" s="35">
        <v>3191.2333356598238</v>
      </c>
      <c r="F51" s="35">
        <v>2269.8730316273113</v>
      </c>
      <c r="G51" s="35">
        <v>1392.653815630355</v>
      </c>
      <c r="H51" s="35">
        <v>2786.0343695399292</v>
      </c>
      <c r="I51" s="35">
        <v>2071.8881447993331</v>
      </c>
      <c r="J51" s="35">
        <v>3041.794156568681</v>
      </c>
      <c r="K51" s="35">
        <v>2976.1114047939245</v>
      </c>
      <c r="L51" s="35">
        <v>3784.2554105473382</v>
      </c>
      <c r="M51" s="35">
        <v>5471.3310131703438</v>
      </c>
      <c r="N51" s="36">
        <f t="shared" si="3"/>
        <v>32814.78189189863</v>
      </c>
    </row>
    <row r="52" spans="1:14" x14ac:dyDescent="0.35">
      <c r="A52" s="37" t="s">
        <v>130</v>
      </c>
      <c r="B52" s="35">
        <v>844.60629867400007</v>
      </c>
      <c r="C52" s="35">
        <v>680.32935089999989</v>
      </c>
      <c r="D52" s="35">
        <v>537.62193709999997</v>
      </c>
      <c r="E52" s="35">
        <v>406.94049250000006</v>
      </c>
      <c r="F52" s="35">
        <v>303.7964078</v>
      </c>
      <c r="G52" s="35">
        <v>405.42638069999998</v>
      </c>
      <c r="H52" s="35">
        <v>524.57537400000001</v>
      </c>
      <c r="I52" s="35">
        <v>635.58945960000005</v>
      </c>
      <c r="J52" s="35">
        <v>838.66889880000008</v>
      </c>
      <c r="K52" s="35">
        <v>738.91371020000008</v>
      </c>
      <c r="L52" s="35">
        <v>744.02557439999998</v>
      </c>
      <c r="M52" s="35">
        <v>1017.5288219</v>
      </c>
      <c r="N52" s="36">
        <f t="shared" si="3"/>
        <v>7678.022706574</v>
      </c>
    </row>
    <row r="53" spans="1:14" x14ac:dyDescent="0.35">
      <c r="A53" s="37" t="s">
        <v>131</v>
      </c>
      <c r="B53" s="35">
        <v>62.365735700000002</v>
      </c>
      <c r="C53" s="35">
        <v>347.47160120000001</v>
      </c>
      <c r="D53" s="35">
        <v>352.19205570000003</v>
      </c>
      <c r="E53" s="35">
        <v>618.59161559999995</v>
      </c>
      <c r="F53" s="35">
        <v>299.97308129999999</v>
      </c>
      <c r="G53" s="35">
        <v>360.67321450000003</v>
      </c>
      <c r="H53" s="35">
        <v>595.86901400000011</v>
      </c>
      <c r="I53" s="35">
        <v>717.38930750000009</v>
      </c>
      <c r="J53" s="35">
        <v>1775.9366044999997</v>
      </c>
      <c r="K53" s="35">
        <v>1478.84619</v>
      </c>
      <c r="L53" s="35">
        <v>866.01488240000003</v>
      </c>
      <c r="M53" s="35">
        <v>727.93527269999993</v>
      </c>
      <c r="N53" s="36">
        <f t="shared" si="3"/>
        <v>8203.2585750999988</v>
      </c>
    </row>
    <row r="54" spans="1:14" x14ac:dyDescent="0.35">
      <c r="A54" s="37" t="s">
        <v>132</v>
      </c>
      <c r="B54" s="35">
        <v>975.83005848740117</v>
      </c>
      <c r="C54" s="35">
        <v>681.40746086502554</v>
      </c>
      <c r="D54" s="35">
        <v>826.37618810959998</v>
      </c>
      <c r="E54" s="35">
        <v>1313.1363583684201</v>
      </c>
      <c r="F54" s="35">
        <v>945.27455147540536</v>
      </c>
      <c r="G54" s="35">
        <v>1888.0131172297019</v>
      </c>
      <c r="H54" s="35">
        <v>792.89357942084951</v>
      </c>
      <c r="I54" s="35">
        <v>591.43079914600003</v>
      </c>
      <c r="J54" s="35">
        <v>944.92476746126067</v>
      </c>
      <c r="K54" s="35">
        <v>1122.3829191537041</v>
      </c>
      <c r="L54" s="35">
        <v>568.2339096431499</v>
      </c>
      <c r="M54" s="35">
        <v>669.57355550250008</v>
      </c>
      <c r="N54" s="36">
        <f t="shared" si="3"/>
        <v>11319.477264863019</v>
      </c>
    </row>
    <row r="55" spans="1:14" ht="15.5" x14ac:dyDescent="0.35">
      <c r="A55" s="39" t="s">
        <v>133</v>
      </c>
      <c r="B55" s="40">
        <f t="shared" ref="B55:N55" si="4">SUM(B44:B54)</f>
        <v>10898.146533539897</v>
      </c>
      <c r="C55" s="40">
        <f t="shared" si="4"/>
        <v>9246.0138926762338</v>
      </c>
      <c r="D55" s="40">
        <f t="shared" si="4"/>
        <v>10606.049914618579</v>
      </c>
      <c r="E55" s="40">
        <f t="shared" si="4"/>
        <v>13399.489032052843</v>
      </c>
      <c r="F55" s="40">
        <f t="shared" si="4"/>
        <v>13672.355682360352</v>
      </c>
      <c r="G55" s="40">
        <f t="shared" si="4"/>
        <v>13925.297712136608</v>
      </c>
      <c r="H55" s="40">
        <f t="shared" si="4"/>
        <v>19417.31706469454</v>
      </c>
      <c r="I55" s="40">
        <f t="shared" si="4"/>
        <v>16096.063167924145</v>
      </c>
      <c r="J55" s="40">
        <f t="shared" si="4"/>
        <v>18609.386229378066</v>
      </c>
      <c r="K55" s="40">
        <f t="shared" si="4"/>
        <v>15135.773494910503</v>
      </c>
      <c r="L55" s="40">
        <f t="shared" si="4"/>
        <v>14876.271664766766</v>
      </c>
      <c r="M55" s="40">
        <f t="shared" si="4"/>
        <v>20952.612087182319</v>
      </c>
      <c r="N55" s="40">
        <f t="shared" si="4"/>
        <v>176834.77647624083</v>
      </c>
    </row>
    <row r="56" spans="1:14" ht="15.5" x14ac:dyDescent="0.35">
      <c r="A56" s="41" t="s">
        <v>134</v>
      </c>
      <c r="B56" s="40">
        <f>+B55+B42</f>
        <v>74207.645156289771</v>
      </c>
      <c r="C56" s="40">
        <f>+C55+C42</f>
        <v>70046.397374263441</v>
      </c>
      <c r="D56" s="40">
        <f>+D55+D42</f>
        <v>71679.348913787879</v>
      </c>
      <c r="E56" s="40">
        <f>+E55+E42</f>
        <v>72860.439470110607</v>
      </c>
      <c r="F56" s="40">
        <f>+F55+F42</f>
        <v>80983.015512993996</v>
      </c>
      <c r="G56" s="40">
        <f t="shared" ref="G56:N56" si="5">+G42+G55</f>
        <v>83035.173906576631</v>
      </c>
      <c r="H56" s="40">
        <f t="shared" si="5"/>
        <v>91471.513995553876</v>
      </c>
      <c r="I56" s="40">
        <f t="shared" si="5"/>
        <v>95105.451863192153</v>
      </c>
      <c r="J56" s="40">
        <f t="shared" si="5"/>
        <v>100380.52800837092</v>
      </c>
      <c r="K56" s="40">
        <f t="shared" si="5"/>
        <v>101828.28887769801</v>
      </c>
      <c r="L56" s="40">
        <f t="shared" si="5"/>
        <v>102317.68803371425</v>
      </c>
      <c r="M56" s="40">
        <f t="shared" si="5"/>
        <v>134181.47733497745</v>
      </c>
      <c r="N56" s="40">
        <f t="shared" si="5"/>
        <v>1078096.968447529</v>
      </c>
    </row>
    <row r="62" spans="1:14" ht="18" x14ac:dyDescent="0.4">
      <c r="A62" s="27" t="s">
        <v>92</v>
      </c>
      <c r="B62" s="2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spans="1:14" x14ac:dyDescent="0.35">
      <c r="A63" s="56" t="s">
        <v>104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</row>
    <row r="64" spans="1:14" ht="17.5" x14ac:dyDescent="0.35">
      <c r="A64" s="57" t="s">
        <v>105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</row>
    <row r="65" spans="1:14" ht="35" x14ac:dyDescent="0.35">
      <c r="A65" s="30" t="s">
        <v>106</v>
      </c>
      <c r="B65" s="31" t="s">
        <v>107</v>
      </c>
      <c r="C65" s="31" t="s">
        <v>108</v>
      </c>
      <c r="D65" s="31" t="s">
        <v>109</v>
      </c>
      <c r="E65" s="31" t="s">
        <v>110</v>
      </c>
      <c r="F65" s="31" t="s">
        <v>111</v>
      </c>
      <c r="G65" s="31" t="s">
        <v>112</v>
      </c>
      <c r="H65" s="31" t="s">
        <v>113</v>
      </c>
      <c r="I65" s="31" t="s">
        <v>114</v>
      </c>
      <c r="J65" s="31" t="s">
        <v>115</v>
      </c>
      <c r="K65" s="31" t="s">
        <v>116</v>
      </c>
      <c r="L65" s="31" t="s">
        <v>117</v>
      </c>
      <c r="M65" s="31" t="s">
        <v>118</v>
      </c>
      <c r="N65" s="31" t="s">
        <v>83</v>
      </c>
    </row>
    <row r="66" spans="1:14" ht="15.5" x14ac:dyDescent="0.35">
      <c r="A66" s="32" t="s">
        <v>119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</row>
    <row r="67" spans="1:14" ht="15.5" x14ac:dyDescent="0.35">
      <c r="A67" s="34" t="s">
        <v>120</v>
      </c>
      <c r="B67" s="35">
        <v>128800.06584155018</v>
      </c>
      <c r="C67" s="35">
        <v>119633.62181054099</v>
      </c>
      <c r="D67" s="35">
        <v>121897.63969956485</v>
      </c>
      <c r="E67" s="35">
        <v>128755.46490262874</v>
      </c>
      <c r="F67" s="35">
        <v>104567.31614182114</v>
      </c>
      <c r="G67" s="35">
        <v>95157.741525290738</v>
      </c>
      <c r="H67" s="35">
        <v>99194.385511237808</v>
      </c>
      <c r="I67" s="35">
        <v>100258.75918442282</v>
      </c>
      <c r="J67" s="35">
        <v>94253.237400611397</v>
      </c>
      <c r="K67" s="35">
        <v>92441.854830099124</v>
      </c>
      <c r="L67" s="35">
        <v>85798.258921224522</v>
      </c>
      <c r="M67" s="35">
        <v>89613.478577777831</v>
      </c>
      <c r="N67" s="36">
        <f>SUM(B67:M67)</f>
        <v>1260371.8243467701</v>
      </c>
    </row>
    <row r="68" spans="1:14" ht="15.5" x14ac:dyDescent="0.35">
      <c r="A68" s="34" t="s">
        <v>121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6"/>
    </row>
    <row r="69" spans="1:14" x14ac:dyDescent="0.35">
      <c r="A69" s="37" t="s">
        <v>122</v>
      </c>
      <c r="B69" s="35">
        <v>11742.672247232804</v>
      </c>
      <c r="C69" s="35">
        <v>9255.4509678078812</v>
      </c>
      <c r="D69" s="35">
        <v>7620.4483035542544</v>
      </c>
      <c r="E69" s="35">
        <v>8397.3696571986948</v>
      </c>
      <c r="F69" s="35">
        <v>8569.8646196002192</v>
      </c>
      <c r="G69" s="35">
        <v>7569.740256420605</v>
      </c>
      <c r="H69" s="35">
        <v>6864.8739168871834</v>
      </c>
      <c r="I69" s="35">
        <v>9211.2181791365438</v>
      </c>
      <c r="J69" s="35">
        <v>9489.0788646328892</v>
      </c>
      <c r="K69" s="35">
        <v>8825.4002814885007</v>
      </c>
      <c r="L69" s="35">
        <v>10878.430968464912</v>
      </c>
      <c r="M69" s="35">
        <v>8766.619778192131</v>
      </c>
      <c r="N69" s="36">
        <f t="shared" ref="N69:N79" si="6">SUM(B69:M69)</f>
        <v>107191.16804061661</v>
      </c>
    </row>
    <row r="70" spans="1:14" x14ac:dyDescent="0.35">
      <c r="A70" s="38" t="s">
        <v>123</v>
      </c>
      <c r="B70" s="35">
        <v>0</v>
      </c>
      <c r="C70" s="35">
        <v>314.45059559999999</v>
      </c>
      <c r="D70" s="35">
        <v>1620.7635287737048</v>
      </c>
      <c r="E70" s="35">
        <v>619.84080128862968</v>
      </c>
      <c r="F70" s="35">
        <v>0.13690740000000001</v>
      </c>
      <c r="G70" s="35">
        <v>1395.2888663219835</v>
      </c>
      <c r="H70" s="35">
        <v>2433.8629538500318</v>
      </c>
      <c r="I70" s="35">
        <v>1620.1603982408667</v>
      </c>
      <c r="J70" s="35">
        <v>841.67997008510122</v>
      </c>
      <c r="K70" s="35">
        <v>0.27136270000000001</v>
      </c>
      <c r="L70" s="35">
        <v>0</v>
      </c>
      <c r="M70" s="35">
        <v>0</v>
      </c>
      <c r="N70" s="36">
        <f t="shared" si="6"/>
        <v>8846.4553842603164</v>
      </c>
    </row>
    <row r="71" spans="1:14" x14ac:dyDescent="0.35">
      <c r="A71" s="37" t="s">
        <v>124</v>
      </c>
      <c r="B71" s="35">
        <v>241.16155640693927</v>
      </c>
      <c r="C71" s="35">
        <v>260.22226879999999</v>
      </c>
      <c r="D71" s="35">
        <v>13.8681977</v>
      </c>
      <c r="E71" s="35">
        <v>924.0060652443741</v>
      </c>
      <c r="F71" s="35">
        <v>475.247839133323</v>
      </c>
      <c r="G71" s="35">
        <v>355.42525569124098</v>
      </c>
      <c r="H71" s="35">
        <v>636.94037275343999</v>
      </c>
      <c r="I71" s="35">
        <v>173.61043654513992</v>
      </c>
      <c r="J71" s="35">
        <v>388.0545023858906</v>
      </c>
      <c r="K71" s="35">
        <v>184.14577871546899</v>
      </c>
      <c r="L71" s="35">
        <v>687.09829004569292</v>
      </c>
      <c r="M71" s="35">
        <v>441.55077978299198</v>
      </c>
      <c r="N71" s="36">
        <f t="shared" si="6"/>
        <v>4781.3313432045015</v>
      </c>
    </row>
    <row r="72" spans="1:14" x14ac:dyDescent="0.35">
      <c r="A72" s="37" t="s">
        <v>125</v>
      </c>
      <c r="B72" s="35">
        <v>0</v>
      </c>
      <c r="C72" s="35">
        <v>1.3424999999999999E-3</v>
      </c>
      <c r="D72" s="35">
        <v>0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6">
        <f t="shared" si="6"/>
        <v>1.3424999999999999E-3</v>
      </c>
    </row>
    <row r="73" spans="1:14" x14ac:dyDescent="0.35">
      <c r="A73" s="38" t="s">
        <v>126</v>
      </c>
      <c r="B73" s="35">
        <v>0</v>
      </c>
      <c r="C73" s="35">
        <v>0</v>
      </c>
      <c r="D73" s="35">
        <v>0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6">
        <f t="shared" si="6"/>
        <v>0</v>
      </c>
    </row>
    <row r="74" spans="1:14" x14ac:dyDescent="0.35">
      <c r="A74" s="37" t="s">
        <v>127</v>
      </c>
      <c r="B74" s="35">
        <v>22.398762599999998</v>
      </c>
      <c r="C74" s="35">
        <v>102.7777177</v>
      </c>
      <c r="D74" s="35">
        <v>1530.4304413040443</v>
      </c>
      <c r="E74" s="35">
        <v>1432.4401845096302</v>
      </c>
      <c r="F74" s="35">
        <v>86.037710100000012</v>
      </c>
      <c r="G74" s="35">
        <v>14.5286481</v>
      </c>
      <c r="H74" s="35">
        <v>91.96575009999998</v>
      </c>
      <c r="I74" s="35">
        <v>66.538544399999992</v>
      </c>
      <c r="J74" s="35">
        <v>118.0504272</v>
      </c>
      <c r="K74" s="35">
        <v>45.498867499999996</v>
      </c>
      <c r="L74" s="35">
        <v>43.608898799999999</v>
      </c>
      <c r="M74" s="35">
        <v>29.765529899999997</v>
      </c>
      <c r="N74" s="36">
        <f t="shared" si="6"/>
        <v>3584.041482213674</v>
      </c>
    </row>
    <row r="75" spans="1:14" x14ac:dyDescent="0.35">
      <c r="A75" s="37" t="s">
        <v>128</v>
      </c>
      <c r="B75" s="35">
        <v>1591.0748130468769</v>
      </c>
      <c r="C75" s="35">
        <v>1680.7704203280437</v>
      </c>
      <c r="D75" s="35">
        <v>1579.928014141002</v>
      </c>
      <c r="E75" s="35">
        <v>2086.7114794514951</v>
      </c>
      <c r="F75" s="35">
        <v>1616.9315867464402</v>
      </c>
      <c r="G75" s="35">
        <v>1282.3926035000004</v>
      </c>
      <c r="H75" s="35">
        <v>1887.5093722866475</v>
      </c>
      <c r="I75" s="35">
        <v>1420.5142739686253</v>
      </c>
      <c r="J75" s="35">
        <v>1204.4994348594319</v>
      </c>
      <c r="K75" s="35">
        <v>1183.352966893111</v>
      </c>
      <c r="L75" s="35">
        <v>1514.6666808505731</v>
      </c>
      <c r="M75" s="35">
        <v>1401.0158958692932</v>
      </c>
      <c r="N75" s="36">
        <f t="shared" si="6"/>
        <v>18449.367541941538</v>
      </c>
    </row>
    <row r="76" spans="1:14" x14ac:dyDescent="0.35">
      <c r="A76" s="37" t="s">
        <v>129</v>
      </c>
      <c r="B76" s="35">
        <v>5016.0752875560938</v>
      </c>
      <c r="C76" s="35">
        <v>2519.2737246841152</v>
      </c>
      <c r="D76" s="35">
        <v>3067.6492610299551</v>
      </c>
      <c r="E76" s="35">
        <v>3545.6687557347582</v>
      </c>
      <c r="F76" s="35">
        <v>2952.61007367928</v>
      </c>
      <c r="G76" s="35">
        <v>2178.969339989651</v>
      </c>
      <c r="H76" s="35">
        <v>2472.8858547682498</v>
      </c>
      <c r="I76" s="35">
        <v>2037.898288967225</v>
      </c>
      <c r="J76" s="35">
        <v>2952.3115680838127</v>
      </c>
      <c r="K76" s="35">
        <v>2764.7976744316852</v>
      </c>
      <c r="L76" s="35">
        <v>1893.7300631388428</v>
      </c>
      <c r="M76" s="35">
        <v>2072.3759762216409</v>
      </c>
      <c r="N76" s="36">
        <f t="shared" si="6"/>
        <v>33474.24586828531</v>
      </c>
    </row>
    <row r="77" spans="1:14" x14ac:dyDescent="0.35">
      <c r="A77" s="37" t="s">
        <v>130</v>
      </c>
      <c r="B77" s="35">
        <v>1047.5565343999999</v>
      </c>
      <c r="C77" s="35">
        <v>1020.9421413</v>
      </c>
      <c r="D77" s="35">
        <v>804.34877879999999</v>
      </c>
      <c r="E77" s="35">
        <v>451.78709219999996</v>
      </c>
      <c r="F77" s="35">
        <v>236.9131816</v>
      </c>
      <c r="G77" s="35">
        <v>394.69967650000001</v>
      </c>
      <c r="H77" s="35">
        <v>773.57192000000009</v>
      </c>
      <c r="I77" s="35">
        <v>1105.4384407845632</v>
      </c>
      <c r="J77" s="35">
        <v>1021.8654855</v>
      </c>
      <c r="K77" s="35">
        <v>914.54584929999999</v>
      </c>
      <c r="L77" s="35">
        <v>986.62271829999997</v>
      </c>
      <c r="M77" s="35">
        <v>1186.7844415000002</v>
      </c>
      <c r="N77" s="36">
        <f t="shared" si="6"/>
        <v>9945.0762601845636</v>
      </c>
    </row>
    <row r="78" spans="1:14" x14ac:dyDescent="0.35">
      <c r="A78" s="37" t="s">
        <v>131</v>
      </c>
      <c r="B78" s="35">
        <v>1704.7948859000001</v>
      </c>
      <c r="C78" s="35">
        <v>1675.7071335999999</v>
      </c>
      <c r="D78" s="35">
        <v>1461.5899387999998</v>
      </c>
      <c r="E78" s="35">
        <v>1787.0968663999997</v>
      </c>
      <c r="F78" s="35">
        <v>1351.0164373000002</v>
      </c>
      <c r="G78" s="35">
        <v>1020.8874268999998</v>
      </c>
      <c r="H78" s="35">
        <v>1587.7222273</v>
      </c>
      <c r="I78" s="35">
        <v>1709.9420129</v>
      </c>
      <c r="J78" s="35">
        <v>971.62531609999996</v>
      </c>
      <c r="K78" s="35">
        <v>1356.0311656000001</v>
      </c>
      <c r="L78" s="35">
        <v>1351.3822379000001</v>
      </c>
      <c r="M78" s="35">
        <v>2179.5632885</v>
      </c>
      <c r="N78" s="36">
        <f t="shared" si="6"/>
        <v>18157.358937199999</v>
      </c>
    </row>
    <row r="79" spans="1:14" x14ac:dyDescent="0.35">
      <c r="A79" s="37" t="s">
        <v>132</v>
      </c>
      <c r="B79" s="35">
        <v>1091.9774634221205</v>
      </c>
      <c r="C79" s="35">
        <v>1318.3055674054667</v>
      </c>
      <c r="D79" s="35">
        <v>765.33193275616975</v>
      </c>
      <c r="E79" s="35">
        <v>618.96919158416756</v>
      </c>
      <c r="F79" s="35">
        <v>1120.1187033895139</v>
      </c>
      <c r="G79" s="35">
        <v>646.20744328448666</v>
      </c>
      <c r="H79" s="35">
        <v>604.47946250035614</v>
      </c>
      <c r="I79" s="35">
        <v>673.1964419751198</v>
      </c>
      <c r="J79" s="35">
        <v>855.07457396648101</v>
      </c>
      <c r="K79" s="35">
        <v>1177.0664569112087</v>
      </c>
      <c r="L79" s="35">
        <v>589.70741381903485</v>
      </c>
      <c r="M79" s="35">
        <v>1964.5072478634606</v>
      </c>
      <c r="N79" s="36">
        <f t="shared" si="6"/>
        <v>11424.941898877585</v>
      </c>
    </row>
    <row r="80" spans="1:14" ht="15.5" x14ac:dyDescent="0.35">
      <c r="A80" s="39" t="s">
        <v>133</v>
      </c>
      <c r="B80" s="40">
        <f t="shared" ref="B80:N80" si="7">SUM(B69:B79)</f>
        <v>22457.711550564833</v>
      </c>
      <c r="C80" s="40">
        <f t="shared" si="7"/>
        <v>18147.901879725508</v>
      </c>
      <c r="D80" s="40">
        <f t="shared" si="7"/>
        <v>18464.35839685913</v>
      </c>
      <c r="E80" s="40">
        <f t="shared" si="7"/>
        <v>19863.89009361175</v>
      </c>
      <c r="F80" s="40">
        <f t="shared" si="7"/>
        <v>16408.877058948776</v>
      </c>
      <c r="G80" s="40">
        <f t="shared" si="7"/>
        <v>14858.13951670797</v>
      </c>
      <c r="H80" s="40">
        <f t="shared" si="7"/>
        <v>17353.811830445909</v>
      </c>
      <c r="I80" s="40">
        <f t="shared" si="7"/>
        <v>18018.517016918082</v>
      </c>
      <c r="J80" s="40">
        <f t="shared" si="7"/>
        <v>17842.240142813607</v>
      </c>
      <c r="K80" s="40">
        <f t="shared" si="7"/>
        <v>16451.110403539977</v>
      </c>
      <c r="L80" s="40">
        <f t="shared" si="7"/>
        <v>17945.247271319055</v>
      </c>
      <c r="M80" s="40">
        <f t="shared" si="7"/>
        <v>18042.182937829519</v>
      </c>
      <c r="N80" s="40">
        <f t="shared" si="7"/>
        <v>215853.98809928409</v>
      </c>
    </row>
    <row r="81" spans="1:14" ht="15.5" x14ac:dyDescent="0.35">
      <c r="A81" s="41" t="s">
        <v>134</v>
      </c>
      <c r="B81" s="40">
        <f>+B80+B67</f>
        <v>151257.77739211501</v>
      </c>
      <c r="C81" s="40">
        <f>+C80+C67</f>
        <v>137781.52369026651</v>
      </c>
      <c r="D81" s="40">
        <f>+D80+D67</f>
        <v>140361.99809642398</v>
      </c>
      <c r="E81" s="40">
        <f>+E80+E67</f>
        <v>148619.35499624049</v>
      </c>
      <c r="F81" s="40">
        <f>+F80+F67</f>
        <v>120976.19320076992</v>
      </c>
      <c r="G81" s="40">
        <f t="shared" ref="G81:N81" si="8">+G67+G80</f>
        <v>110015.88104199871</v>
      </c>
      <c r="H81" s="40">
        <f t="shared" si="8"/>
        <v>116548.19734168371</v>
      </c>
      <c r="I81" s="40">
        <f t="shared" si="8"/>
        <v>118277.27620134089</v>
      </c>
      <c r="J81" s="40">
        <f t="shared" si="8"/>
        <v>112095.477543425</v>
      </c>
      <c r="K81" s="40">
        <f t="shared" si="8"/>
        <v>108892.9652336391</v>
      </c>
      <c r="L81" s="40">
        <f t="shared" si="8"/>
        <v>103743.50619254357</v>
      </c>
      <c r="M81" s="40">
        <f t="shared" si="8"/>
        <v>107655.66151560735</v>
      </c>
      <c r="N81" s="40">
        <f t="shared" si="8"/>
        <v>1476225.8124460541</v>
      </c>
    </row>
    <row r="86" spans="1:14" ht="18" x14ac:dyDescent="0.4">
      <c r="A86" s="27" t="s">
        <v>102</v>
      </c>
      <c r="B86" s="2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 spans="1:14" x14ac:dyDescent="0.35">
      <c r="A87" s="56" t="s">
        <v>104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</row>
    <row r="88" spans="1:14" ht="17.5" x14ac:dyDescent="0.35">
      <c r="A88" s="57" t="s">
        <v>105</v>
      </c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</row>
    <row r="89" spans="1:14" ht="35" x14ac:dyDescent="0.35">
      <c r="A89" s="30" t="s">
        <v>106</v>
      </c>
      <c r="B89" s="31" t="s">
        <v>107</v>
      </c>
      <c r="C89" s="31" t="s">
        <v>108</v>
      </c>
      <c r="D89" s="31" t="s">
        <v>109</v>
      </c>
      <c r="E89" s="31" t="s">
        <v>110</v>
      </c>
      <c r="F89" s="31" t="s">
        <v>111</v>
      </c>
      <c r="G89" s="31" t="s">
        <v>112</v>
      </c>
      <c r="H89" s="31" t="s">
        <v>113</v>
      </c>
      <c r="I89" s="31" t="s">
        <v>114</v>
      </c>
      <c r="J89" s="31" t="s">
        <v>115</v>
      </c>
      <c r="K89" s="31" t="s">
        <v>116</v>
      </c>
      <c r="L89" s="31" t="s">
        <v>117</v>
      </c>
      <c r="M89" s="31" t="s">
        <v>118</v>
      </c>
      <c r="N89" s="31" t="s">
        <v>83</v>
      </c>
    </row>
    <row r="90" spans="1:14" ht="15.5" x14ac:dyDescent="0.35">
      <c r="A90" s="32" t="s">
        <v>119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</row>
    <row r="91" spans="1:14" ht="15.5" x14ac:dyDescent="0.35">
      <c r="A91" s="34" t="s">
        <v>120</v>
      </c>
      <c r="B91" s="35">
        <v>89035.978544082594</v>
      </c>
      <c r="C91" s="35">
        <v>87955.310700035101</v>
      </c>
      <c r="D91" s="35">
        <v>83881.451010452583</v>
      </c>
      <c r="E91" s="35">
        <v>85329.770402117996</v>
      </c>
      <c r="F91" s="35">
        <v>91863.736672447398</v>
      </c>
      <c r="G91" s="35">
        <v>90379.189582584731</v>
      </c>
      <c r="H91" s="35">
        <v>98715.177930114951</v>
      </c>
      <c r="I91" s="35">
        <v>95382.058589648965</v>
      </c>
      <c r="J91" s="35">
        <v>94748.458657805822</v>
      </c>
      <c r="K91" s="35">
        <v>101338.48782842909</v>
      </c>
      <c r="L91" s="35">
        <v>85514.447781549126</v>
      </c>
      <c r="M91" s="35">
        <v>101031.78839941784</v>
      </c>
      <c r="N91" s="36">
        <f>SUM(B91:M91)</f>
        <v>1105175.8560986861</v>
      </c>
    </row>
    <row r="92" spans="1:14" ht="15.5" x14ac:dyDescent="0.35">
      <c r="A92" s="34" t="s">
        <v>121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6"/>
    </row>
    <row r="93" spans="1:14" x14ac:dyDescent="0.35">
      <c r="A93" s="37" t="s">
        <v>122</v>
      </c>
      <c r="B93" s="35">
        <v>4707.2075123188997</v>
      </c>
      <c r="C93" s="35">
        <v>6518.3310160403998</v>
      </c>
      <c r="D93" s="35">
        <v>4782.4872993306999</v>
      </c>
      <c r="E93" s="35">
        <v>4423.3783434823999</v>
      </c>
      <c r="F93" s="35">
        <v>6100.2664349453999</v>
      </c>
      <c r="G93" s="35">
        <v>7470.3995633333006</v>
      </c>
      <c r="H93" s="35">
        <v>9523.9162192285003</v>
      </c>
      <c r="I93" s="35">
        <v>8848.5201078112004</v>
      </c>
      <c r="J93" s="35">
        <v>8042.7701512751</v>
      </c>
      <c r="K93" s="35">
        <v>8517.9515015955003</v>
      </c>
      <c r="L93" s="35">
        <v>9152.2196560423981</v>
      </c>
      <c r="M93" s="35">
        <v>8273.8807781043997</v>
      </c>
      <c r="N93" s="36">
        <f t="shared" ref="N93:N103" si="9">SUM(B93:M93)</f>
        <v>86361.328583508192</v>
      </c>
    </row>
    <row r="94" spans="1:14" x14ac:dyDescent="0.35">
      <c r="A94" s="38" t="s">
        <v>123</v>
      </c>
      <c r="B94" s="35">
        <v>0.15835949999999999</v>
      </c>
      <c r="C94" s="35">
        <v>0.24027490000000001</v>
      </c>
      <c r="D94" s="35">
        <v>973.32166089999998</v>
      </c>
      <c r="E94" s="35">
        <v>0</v>
      </c>
      <c r="F94" s="35">
        <v>1227.5040878999998</v>
      </c>
      <c r="G94" s="35">
        <v>1258.2578541</v>
      </c>
      <c r="H94" s="35">
        <v>1516.1554406</v>
      </c>
      <c r="I94" s="35">
        <v>524.27633790000004</v>
      </c>
      <c r="J94" s="35">
        <v>0</v>
      </c>
      <c r="K94" s="35">
        <v>0</v>
      </c>
      <c r="L94" s="35">
        <v>5.3502099999999997E-2</v>
      </c>
      <c r="M94" s="35">
        <v>0.25175150000000002</v>
      </c>
      <c r="N94" s="36">
        <f t="shared" si="9"/>
        <v>5500.2192693999996</v>
      </c>
    </row>
    <row r="95" spans="1:14" x14ac:dyDescent="0.35">
      <c r="A95" s="37" t="s">
        <v>124</v>
      </c>
      <c r="B95" s="35">
        <v>314.18101910000001</v>
      </c>
      <c r="C95" s="35">
        <v>144.09685676536421</v>
      </c>
      <c r="D95" s="35">
        <v>872.9507285839079</v>
      </c>
      <c r="E95" s="35">
        <v>308.254313482513</v>
      </c>
      <c r="F95" s="35">
        <v>589.84960350000006</v>
      </c>
      <c r="G95" s="35">
        <v>893.08025212780922</v>
      </c>
      <c r="H95" s="35">
        <v>1420.6216784738754</v>
      </c>
      <c r="I95" s="35">
        <v>632.23722976742056</v>
      </c>
      <c r="J95" s="35">
        <v>1119.6272750190922</v>
      </c>
      <c r="K95" s="35">
        <v>313.02945950000003</v>
      </c>
      <c r="L95" s="35">
        <v>9.7971567000000004</v>
      </c>
      <c r="M95" s="35">
        <v>9.5032003000000014</v>
      </c>
      <c r="N95" s="36">
        <f t="shared" si="9"/>
        <v>6627.2287733199828</v>
      </c>
    </row>
    <row r="96" spans="1:14" x14ac:dyDescent="0.35">
      <c r="A96" s="37" t="s">
        <v>125</v>
      </c>
      <c r="B96" s="35">
        <v>0</v>
      </c>
      <c r="C96" s="35">
        <v>0</v>
      </c>
      <c r="D96" s="35">
        <v>0</v>
      </c>
      <c r="E96" s="35">
        <v>0</v>
      </c>
      <c r="F96" s="35">
        <v>2.5903200000000001E-2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6">
        <f t="shared" si="9"/>
        <v>2.5903200000000001E-2</v>
      </c>
    </row>
    <row r="97" spans="1:14" x14ac:dyDescent="0.35">
      <c r="A97" s="38" t="s">
        <v>126</v>
      </c>
      <c r="B97" s="35">
        <v>0</v>
      </c>
      <c r="C97" s="35">
        <v>0</v>
      </c>
      <c r="D97" s="35">
        <v>0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6">
        <f t="shared" si="9"/>
        <v>0</v>
      </c>
    </row>
    <row r="98" spans="1:14" x14ac:dyDescent="0.35">
      <c r="A98" s="37" t="s">
        <v>127</v>
      </c>
      <c r="B98" s="35">
        <v>16.787954900000003</v>
      </c>
      <c r="C98" s="35">
        <v>12.9058855</v>
      </c>
      <c r="D98" s="35">
        <v>4.1291321999999999</v>
      </c>
      <c r="E98" s="35">
        <v>7.4027840999999999</v>
      </c>
      <c r="F98" s="35">
        <v>33.618474900000002</v>
      </c>
      <c r="G98" s="35">
        <v>38.196605099999999</v>
      </c>
      <c r="H98" s="35">
        <v>29.2677838</v>
      </c>
      <c r="I98" s="35">
        <v>11.7419125</v>
      </c>
      <c r="J98" s="35">
        <v>22.415136699999998</v>
      </c>
      <c r="K98" s="35">
        <v>15.416167900000001</v>
      </c>
      <c r="L98" s="35">
        <v>87.659050100000002</v>
      </c>
      <c r="M98" s="35">
        <v>32.316515499999994</v>
      </c>
      <c r="N98" s="36">
        <f t="shared" si="9"/>
        <v>311.85740319999996</v>
      </c>
    </row>
    <row r="99" spans="1:14" x14ac:dyDescent="0.35">
      <c r="A99" s="37" t="s">
        <v>128</v>
      </c>
      <c r="B99" s="35">
        <v>1341.6092779000001</v>
      </c>
      <c r="C99" s="35">
        <v>1751.9527370213007</v>
      </c>
      <c r="D99" s="35">
        <v>1413.9879699999999</v>
      </c>
      <c r="E99" s="35">
        <v>2124.3172310512</v>
      </c>
      <c r="F99" s="35">
        <v>1188.7983773000001</v>
      </c>
      <c r="G99" s="35">
        <v>1505.1556775000004</v>
      </c>
      <c r="H99" s="35">
        <v>1501.3236476999998</v>
      </c>
      <c r="I99" s="35">
        <v>1873.2236008</v>
      </c>
      <c r="J99" s="35">
        <v>2035.7845761999997</v>
      </c>
      <c r="K99" s="35">
        <v>1489.5520724</v>
      </c>
      <c r="L99" s="35">
        <v>1627.4363119000002</v>
      </c>
      <c r="M99" s="35">
        <v>1276.0136002000006</v>
      </c>
      <c r="N99" s="36">
        <f t="shared" si="9"/>
        <v>19129.155079972501</v>
      </c>
    </row>
    <row r="100" spans="1:14" x14ac:dyDescent="0.35">
      <c r="A100" s="37" t="s">
        <v>129</v>
      </c>
      <c r="B100" s="35">
        <v>2256.1195664417146</v>
      </c>
      <c r="C100" s="35">
        <v>2331.6938150992582</v>
      </c>
      <c r="D100" s="35">
        <v>2329.9877236004349</v>
      </c>
      <c r="E100" s="35">
        <v>2394.0693252317501</v>
      </c>
      <c r="F100" s="35">
        <v>2995.7638413934451</v>
      </c>
      <c r="G100" s="35">
        <v>3505.1173782491842</v>
      </c>
      <c r="H100" s="35">
        <v>3223.3286689946954</v>
      </c>
      <c r="I100" s="35">
        <v>3496.4560686862092</v>
      </c>
      <c r="J100" s="35">
        <v>2642.2472749776225</v>
      </c>
      <c r="K100" s="35">
        <v>2709.2959331425</v>
      </c>
      <c r="L100" s="35">
        <v>3142.8315190157496</v>
      </c>
      <c r="M100" s="35">
        <v>2641.9120576945079</v>
      </c>
      <c r="N100" s="36">
        <f t="shared" si="9"/>
        <v>33668.823172527074</v>
      </c>
    </row>
    <row r="101" spans="1:14" x14ac:dyDescent="0.35">
      <c r="A101" s="37" t="s">
        <v>130</v>
      </c>
      <c r="B101" s="35">
        <v>1254.3909236</v>
      </c>
      <c r="C101" s="35">
        <v>1291.5385795218001</v>
      </c>
      <c r="D101" s="35">
        <v>833.6569490431001</v>
      </c>
      <c r="E101" s="35">
        <v>753.1120977999999</v>
      </c>
      <c r="F101" s="35">
        <v>939.23046009999996</v>
      </c>
      <c r="G101" s="35">
        <v>736.09487849999994</v>
      </c>
      <c r="H101" s="35">
        <v>949.37343670000007</v>
      </c>
      <c r="I101" s="35">
        <v>780.42391550000002</v>
      </c>
      <c r="J101" s="35">
        <v>780.74903652689989</v>
      </c>
      <c r="K101" s="35">
        <v>753.02781040000002</v>
      </c>
      <c r="L101" s="35">
        <v>769.0363145</v>
      </c>
      <c r="M101" s="35">
        <v>1033.8796426000001</v>
      </c>
      <c r="N101" s="36">
        <f t="shared" si="9"/>
        <v>10874.5140447918</v>
      </c>
    </row>
    <row r="102" spans="1:14" x14ac:dyDescent="0.35">
      <c r="A102" s="37" t="s">
        <v>131</v>
      </c>
      <c r="B102" s="35">
        <v>1125.8523439999999</v>
      </c>
      <c r="C102" s="35">
        <v>1665.7361587</v>
      </c>
      <c r="D102" s="35">
        <v>970.4354922</v>
      </c>
      <c r="E102" s="35">
        <v>1122.6024600000001</v>
      </c>
      <c r="F102" s="35">
        <v>1378.9852816999999</v>
      </c>
      <c r="G102" s="35">
        <v>946.69997420000004</v>
      </c>
      <c r="H102" s="35">
        <v>1060.9814322</v>
      </c>
      <c r="I102" s="35">
        <v>779.4162328000001</v>
      </c>
      <c r="J102" s="35">
        <v>1248.543193</v>
      </c>
      <c r="K102" s="35">
        <v>865.62167209999996</v>
      </c>
      <c r="L102" s="35">
        <v>1599.4339852000001</v>
      </c>
      <c r="M102" s="35">
        <v>1545.2851410000001</v>
      </c>
      <c r="N102" s="36">
        <f t="shared" si="9"/>
        <v>14309.593367099998</v>
      </c>
    </row>
    <row r="103" spans="1:14" x14ac:dyDescent="0.35">
      <c r="A103" s="37" t="s">
        <v>132</v>
      </c>
      <c r="B103" s="35">
        <v>1157.8977635000001</v>
      </c>
      <c r="C103" s="35">
        <v>1814.8623854106222</v>
      </c>
      <c r="D103" s="35">
        <v>1286.9496680200198</v>
      </c>
      <c r="E103" s="35">
        <v>1600.3859666239669</v>
      </c>
      <c r="F103" s="35">
        <v>1676.6869563554487</v>
      </c>
      <c r="G103" s="35">
        <v>704.50088579999999</v>
      </c>
      <c r="H103" s="35">
        <v>778.56544469999994</v>
      </c>
      <c r="I103" s="35">
        <v>918.09031090000008</v>
      </c>
      <c r="J103" s="35">
        <v>956.98786940000014</v>
      </c>
      <c r="K103" s="35">
        <v>929.92731567650014</v>
      </c>
      <c r="L103" s="35">
        <v>750.37194022100005</v>
      </c>
      <c r="M103" s="35">
        <v>710.59719516087068</v>
      </c>
      <c r="N103" s="36">
        <f t="shared" si="9"/>
        <v>13285.823701768428</v>
      </c>
    </row>
    <row r="104" spans="1:14" ht="15.5" x14ac:dyDescent="0.35">
      <c r="A104" s="39" t="s">
        <v>133</v>
      </c>
      <c r="B104" s="40">
        <f t="shared" ref="B104:N104" si="10">SUM(B93:B103)</f>
        <v>12174.204721260616</v>
      </c>
      <c r="C104" s="40">
        <f t="shared" si="10"/>
        <v>15531.357708958745</v>
      </c>
      <c r="D104" s="40">
        <f t="shared" si="10"/>
        <v>13467.906623878162</v>
      </c>
      <c r="E104" s="40">
        <f t="shared" si="10"/>
        <v>12733.522521771829</v>
      </c>
      <c r="F104" s="40">
        <f t="shared" si="10"/>
        <v>16130.729421294292</v>
      </c>
      <c r="G104" s="40">
        <f t="shared" si="10"/>
        <v>17057.503068910293</v>
      </c>
      <c r="H104" s="40">
        <f t="shared" si="10"/>
        <v>20003.53375239707</v>
      </c>
      <c r="I104" s="40">
        <f t="shared" si="10"/>
        <v>17864.38571666483</v>
      </c>
      <c r="J104" s="40">
        <f t="shared" si="10"/>
        <v>16849.124513098715</v>
      </c>
      <c r="K104" s="40">
        <f t="shared" si="10"/>
        <v>15593.8219327145</v>
      </c>
      <c r="L104" s="40">
        <f t="shared" si="10"/>
        <v>17138.839435779148</v>
      </c>
      <c r="M104" s="40">
        <f t="shared" si="10"/>
        <v>15523.639882059779</v>
      </c>
      <c r="N104" s="40">
        <f t="shared" si="10"/>
        <v>190068.56929878797</v>
      </c>
    </row>
    <row r="105" spans="1:14" ht="15.5" x14ac:dyDescent="0.35">
      <c r="A105" s="41" t="s">
        <v>134</v>
      </c>
      <c r="B105" s="40">
        <f>+B104+B91</f>
        <v>101210.18326534321</v>
      </c>
      <c r="C105" s="40">
        <f>+C104+C91</f>
        <v>103486.66840899385</v>
      </c>
      <c r="D105" s="40">
        <f>+D104+D91</f>
        <v>97349.35763433075</v>
      </c>
      <c r="E105" s="40">
        <f>+E104+E91</f>
        <v>98063.292923889821</v>
      </c>
      <c r="F105" s="40">
        <f>+F104+F91</f>
        <v>107994.46609374169</v>
      </c>
      <c r="G105" s="40">
        <f t="shared" ref="G105:N105" si="11">+G91+G104</f>
        <v>107436.69265149502</v>
      </c>
      <c r="H105" s="40">
        <f t="shared" si="11"/>
        <v>118718.71168251202</v>
      </c>
      <c r="I105" s="40">
        <f t="shared" si="11"/>
        <v>113246.44430631379</v>
      </c>
      <c r="J105" s="40">
        <f t="shared" si="11"/>
        <v>111597.58317090455</v>
      </c>
      <c r="K105" s="40">
        <f t="shared" si="11"/>
        <v>116932.3097611436</v>
      </c>
      <c r="L105" s="40">
        <f t="shared" si="11"/>
        <v>102653.28721732827</v>
      </c>
      <c r="M105" s="40">
        <f t="shared" si="11"/>
        <v>116555.42828147762</v>
      </c>
      <c r="N105" s="40">
        <f t="shared" si="11"/>
        <v>1295244.4253974741</v>
      </c>
    </row>
  </sheetData>
  <mergeCells count="13">
    <mergeCell ref="A88:N88"/>
    <mergeCell ref="A1:N1"/>
    <mergeCell ref="A7:N7"/>
    <mergeCell ref="A9:E9"/>
    <mergeCell ref="A10:E10"/>
    <mergeCell ref="C4:N4"/>
    <mergeCell ref="A13:N13"/>
    <mergeCell ref="A14:N14"/>
    <mergeCell ref="A38:N38"/>
    <mergeCell ref="A39:N39"/>
    <mergeCell ref="A63:N63"/>
    <mergeCell ref="A64:N64"/>
    <mergeCell ref="A87:N8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5116-C9B2-4BCC-9543-9C7F6C4AF8A1}">
  <dimension ref="A2:AK103"/>
  <sheetViews>
    <sheetView zoomScale="85" zoomScaleNormal="85" workbookViewId="0">
      <selection activeCell="AJ70" sqref="AJ70"/>
    </sheetView>
  </sheetViews>
  <sheetFormatPr defaultRowHeight="14.5" x14ac:dyDescent="0.35"/>
  <cols>
    <col min="1" max="1" width="13" customWidth="1"/>
    <col min="2" max="2" width="21.453125" customWidth="1"/>
    <col min="5" max="34" width="11.6328125" customWidth="1"/>
    <col min="36" max="36" width="31.36328125" bestFit="1" customWidth="1"/>
  </cols>
  <sheetData>
    <row r="2" spans="1:37" x14ac:dyDescent="0.35">
      <c r="A2" s="52" t="s">
        <v>136</v>
      </c>
      <c r="B2" s="52"/>
    </row>
    <row r="3" spans="1:37" x14ac:dyDescent="0.35">
      <c r="A3" s="42" t="s">
        <v>137</v>
      </c>
      <c r="B3" s="43" t="s">
        <v>135</v>
      </c>
      <c r="E3" s="22" t="s">
        <v>0</v>
      </c>
      <c r="F3" s="22" t="s">
        <v>1</v>
      </c>
      <c r="G3" s="22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  <c r="W3" s="5" t="s">
        <v>18</v>
      </c>
      <c r="X3" s="5" t="s">
        <v>19</v>
      </c>
      <c r="Y3" s="5" t="s">
        <v>20</v>
      </c>
      <c r="Z3" s="5" t="s">
        <v>21</v>
      </c>
      <c r="AA3" s="5" t="s">
        <v>22</v>
      </c>
      <c r="AB3" s="5" t="s">
        <v>23</v>
      </c>
      <c r="AC3" s="5" t="s">
        <v>24</v>
      </c>
      <c r="AD3" s="5" t="s">
        <v>25</v>
      </c>
      <c r="AE3" s="5" t="s">
        <v>26</v>
      </c>
      <c r="AF3" s="5" t="s">
        <v>27</v>
      </c>
      <c r="AG3" s="5" t="s">
        <v>28</v>
      </c>
      <c r="AH3" s="5" t="s">
        <v>29</v>
      </c>
      <c r="AJ3" s="62" t="s">
        <v>138</v>
      </c>
      <c r="AK3" s="62"/>
    </row>
    <row r="4" spans="1:37" ht="14.4" customHeight="1" x14ac:dyDescent="0.35">
      <c r="A4" s="44">
        <v>44197</v>
      </c>
      <c r="B4" s="45">
        <v>55990.924602459359</v>
      </c>
      <c r="E4" t="s">
        <v>34</v>
      </c>
      <c r="F4">
        <v>2021</v>
      </c>
      <c r="G4" t="s">
        <v>31</v>
      </c>
      <c r="H4">
        <v>144.9</v>
      </c>
      <c r="I4">
        <v>190.1</v>
      </c>
      <c r="J4">
        <v>175.3</v>
      </c>
      <c r="K4">
        <v>154.1</v>
      </c>
      <c r="L4">
        <v>150.9</v>
      </c>
      <c r="M4">
        <v>149.6</v>
      </c>
      <c r="N4">
        <v>194.2</v>
      </c>
      <c r="O4">
        <v>160.4</v>
      </c>
      <c r="P4">
        <v>114.6</v>
      </c>
      <c r="Q4">
        <v>164</v>
      </c>
      <c r="R4">
        <v>151.80000000000001</v>
      </c>
      <c r="S4">
        <v>165.6</v>
      </c>
      <c r="T4">
        <v>161</v>
      </c>
      <c r="U4">
        <v>186.5</v>
      </c>
      <c r="V4">
        <v>155.5</v>
      </c>
      <c r="W4">
        <v>146.1</v>
      </c>
      <c r="X4">
        <v>154.19999999999999</v>
      </c>
      <c r="Y4">
        <v>157.69999999999999</v>
      </c>
      <c r="Z4">
        <v>147.9</v>
      </c>
      <c r="AA4">
        <v>150</v>
      </c>
      <c r="AB4">
        <v>159.30000000000001</v>
      </c>
      <c r="AC4">
        <v>141.9</v>
      </c>
      <c r="AD4">
        <v>149.6</v>
      </c>
      <c r="AE4">
        <v>159.19999999999999</v>
      </c>
      <c r="AF4">
        <v>156.80000000000001</v>
      </c>
      <c r="AG4">
        <v>151.9</v>
      </c>
      <c r="AH4">
        <v>157.30000000000001</v>
      </c>
      <c r="AJ4" s="62"/>
      <c r="AK4" s="62"/>
    </row>
    <row r="5" spans="1:37" x14ac:dyDescent="0.35">
      <c r="A5" s="46">
        <v>44228</v>
      </c>
      <c r="B5" s="45">
        <v>48033.558892131798</v>
      </c>
      <c r="E5" t="s">
        <v>34</v>
      </c>
      <c r="F5">
        <v>2021</v>
      </c>
      <c r="G5" t="s">
        <v>35</v>
      </c>
      <c r="H5">
        <v>144.30000000000001</v>
      </c>
      <c r="I5">
        <v>186.5</v>
      </c>
      <c r="J5">
        <v>168.7</v>
      </c>
      <c r="K5">
        <v>154.69999999999999</v>
      </c>
      <c r="L5">
        <v>158.69999999999999</v>
      </c>
      <c r="M5">
        <v>150.69999999999999</v>
      </c>
      <c r="N5">
        <v>160</v>
      </c>
      <c r="O5">
        <v>158.80000000000001</v>
      </c>
      <c r="P5">
        <v>112.8</v>
      </c>
      <c r="Q5">
        <v>164.2</v>
      </c>
      <c r="R5">
        <v>155.5</v>
      </c>
      <c r="S5">
        <v>167.5</v>
      </c>
      <c r="T5">
        <v>156.9</v>
      </c>
      <c r="U5">
        <v>188.3</v>
      </c>
      <c r="V5">
        <v>157.19999999999999</v>
      </c>
      <c r="W5">
        <v>147.4</v>
      </c>
      <c r="X5">
        <v>155.80000000000001</v>
      </c>
      <c r="Y5">
        <v>159.80000000000001</v>
      </c>
      <c r="Z5">
        <v>152.4</v>
      </c>
      <c r="AA5">
        <v>150.9</v>
      </c>
      <c r="AB5">
        <v>161.30000000000001</v>
      </c>
      <c r="AC5">
        <v>145.1</v>
      </c>
      <c r="AD5">
        <v>151.5</v>
      </c>
      <c r="AE5">
        <v>159.5</v>
      </c>
      <c r="AF5">
        <v>155.80000000000001</v>
      </c>
      <c r="AG5">
        <v>153.4</v>
      </c>
      <c r="AH5">
        <v>156.6</v>
      </c>
      <c r="AJ5" s="49" t="s">
        <v>3</v>
      </c>
      <c r="AK5" s="50">
        <f>CORREL($B$4:$B$32,Table27[Cereals and products])</f>
        <v>0.444046676754211</v>
      </c>
    </row>
    <row r="6" spans="1:37" x14ac:dyDescent="0.35">
      <c r="A6" s="44">
        <v>44256</v>
      </c>
      <c r="B6" s="45">
        <v>61518.692284107237</v>
      </c>
      <c r="E6" t="s">
        <v>34</v>
      </c>
      <c r="F6">
        <v>2021</v>
      </c>
      <c r="G6" t="s">
        <v>36</v>
      </c>
      <c r="H6">
        <v>144.1</v>
      </c>
      <c r="I6">
        <v>192.2</v>
      </c>
      <c r="J6">
        <v>163.80000000000001</v>
      </c>
      <c r="K6">
        <v>154.9</v>
      </c>
      <c r="L6">
        <v>163.9</v>
      </c>
      <c r="M6">
        <v>153.69999999999999</v>
      </c>
      <c r="N6">
        <v>149.5</v>
      </c>
      <c r="O6">
        <v>159.80000000000001</v>
      </c>
      <c r="P6">
        <v>112.6</v>
      </c>
      <c r="Q6">
        <v>163.5</v>
      </c>
      <c r="R6">
        <v>156.5</v>
      </c>
      <c r="S6">
        <v>168.2</v>
      </c>
      <c r="T6">
        <v>156.69999999999999</v>
      </c>
      <c r="U6">
        <v>188.1</v>
      </c>
      <c r="V6">
        <v>157.80000000000001</v>
      </c>
      <c r="W6">
        <v>147.9</v>
      </c>
      <c r="X6">
        <v>156.4</v>
      </c>
      <c r="Y6">
        <v>159.9</v>
      </c>
      <c r="Z6">
        <v>155.5</v>
      </c>
      <c r="AA6">
        <v>151.19999999999999</v>
      </c>
      <c r="AB6">
        <v>161.69999999999999</v>
      </c>
      <c r="AC6">
        <v>146.19999999999999</v>
      </c>
      <c r="AD6">
        <v>152.6</v>
      </c>
      <c r="AE6">
        <v>160.19999999999999</v>
      </c>
      <c r="AF6">
        <v>153.80000000000001</v>
      </c>
      <c r="AG6">
        <v>153.80000000000001</v>
      </c>
      <c r="AH6">
        <v>156.80000000000001</v>
      </c>
      <c r="AJ6" s="49" t="s">
        <v>4</v>
      </c>
      <c r="AK6" s="50">
        <f>CORREL($B$4:$B$32,Table27[Meat and fish])</f>
        <v>0.80115619666701809</v>
      </c>
    </row>
    <row r="7" spans="1:37" x14ac:dyDescent="0.35">
      <c r="A7" s="46">
        <v>44287</v>
      </c>
      <c r="B7" s="45">
        <v>63309.498622749867</v>
      </c>
      <c r="E7" t="s">
        <v>34</v>
      </c>
      <c r="F7">
        <v>2021</v>
      </c>
      <c r="G7" t="s">
        <v>37</v>
      </c>
      <c r="H7">
        <v>144.30000000000001</v>
      </c>
      <c r="I7">
        <v>198</v>
      </c>
      <c r="J7">
        <v>164.6</v>
      </c>
      <c r="K7">
        <v>155.4</v>
      </c>
      <c r="L7">
        <v>170.1</v>
      </c>
      <c r="M7">
        <v>164.4</v>
      </c>
      <c r="N7">
        <v>144.1</v>
      </c>
      <c r="O7">
        <v>161.69999999999999</v>
      </c>
      <c r="P7">
        <v>113.1</v>
      </c>
      <c r="Q7">
        <v>163.9</v>
      </c>
      <c r="R7">
        <v>157.6</v>
      </c>
      <c r="S7">
        <v>168.9</v>
      </c>
      <c r="T7">
        <v>158</v>
      </c>
      <c r="U7">
        <v>188.8</v>
      </c>
      <c r="V7">
        <v>158.80000000000001</v>
      </c>
      <c r="W7">
        <v>148.5</v>
      </c>
      <c r="X7">
        <v>157.30000000000001</v>
      </c>
      <c r="Y7">
        <v>161.4</v>
      </c>
      <c r="Z7">
        <v>155.6</v>
      </c>
      <c r="AA7">
        <v>151.80000000000001</v>
      </c>
      <c r="AB7">
        <v>162.30000000000001</v>
      </c>
      <c r="AC7">
        <v>146.6</v>
      </c>
      <c r="AD7">
        <v>153.19999999999999</v>
      </c>
      <c r="AE7">
        <v>160.30000000000001</v>
      </c>
      <c r="AF7">
        <v>155.4</v>
      </c>
      <c r="AG7">
        <v>154.4</v>
      </c>
      <c r="AH7">
        <v>157.80000000000001</v>
      </c>
      <c r="AJ7" s="49" t="s">
        <v>5</v>
      </c>
      <c r="AK7" s="50">
        <f>CORREL($B$4:$B$32,Table27[Egg])</f>
        <v>-9.2561993532854825E-2</v>
      </c>
    </row>
    <row r="8" spans="1:37" x14ac:dyDescent="0.35">
      <c r="A8" s="44">
        <v>44317</v>
      </c>
      <c r="B8" s="45">
        <v>60800.383481587211</v>
      </c>
      <c r="E8" t="s">
        <v>34</v>
      </c>
      <c r="F8">
        <v>2021</v>
      </c>
      <c r="G8" t="s">
        <v>38</v>
      </c>
      <c r="H8">
        <v>146.30000000000001</v>
      </c>
      <c r="I8">
        <v>200.5</v>
      </c>
      <c r="J8">
        <v>170.3</v>
      </c>
      <c r="K8">
        <v>156.1</v>
      </c>
      <c r="L8">
        <v>178.7</v>
      </c>
      <c r="M8">
        <v>167.1</v>
      </c>
      <c r="N8">
        <v>147.9</v>
      </c>
      <c r="O8">
        <v>165.4</v>
      </c>
      <c r="P8">
        <v>114.8</v>
      </c>
      <c r="Q8">
        <v>168.2</v>
      </c>
      <c r="R8">
        <v>159.30000000000001</v>
      </c>
      <c r="S8">
        <v>170.4</v>
      </c>
      <c r="T8">
        <v>160.69999999999999</v>
      </c>
      <c r="U8">
        <v>191.9</v>
      </c>
      <c r="V8">
        <v>161.80000000000001</v>
      </c>
      <c r="W8">
        <v>152.1</v>
      </c>
      <c r="X8">
        <v>160.4</v>
      </c>
      <c r="Y8">
        <v>161.6</v>
      </c>
      <c r="Z8">
        <v>159.4</v>
      </c>
      <c r="AA8">
        <v>154.69999999999999</v>
      </c>
      <c r="AB8">
        <v>165.8</v>
      </c>
      <c r="AC8">
        <v>148.9</v>
      </c>
      <c r="AD8">
        <v>155.80000000000001</v>
      </c>
      <c r="AE8">
        <v>161.19999999999999</v>
      </c>
      <c r="AF8">
        <v>158.6</v>
      </c>
      <c r="AG8">
        <v>156.80000000000001</v>
      </c>
      <c r="AH8">
        <v>160.4</v>
      </c>
      <c r="AJ8" s="49" t="s">
        <v>6</v>
      </c>
      <c r="AK8" s="50">
        <f>CORREL($B$4:$B$32,Table27[Milk and products])</f>
        <v>0.53129542494395465</v>
      </c>
    </row>
    <row r="9" spans="1:37" x14ac:dyDescent="0.35">
      <c r="A9" s="46">
        <v>44348</v>
      </c>
      <c r="B9" s="45">
        <v>61073.298999169296</v>
      </c>
      <c r="E9" t="s">
        <v>34</v>
      </c>
      <c r="F9">
        <v>2021</v>
      </c>
      <c r="G9" t="s">
        <v>39</v>
      </c>
      <c r="H9">
        <v>146.69999999999999</v>
      </c>
      <c r="I9">
        <v>202</v>
      </c>
      <c r="J9">
        <v>180.7</v>
      </c>
      <c r="K9">
        <v>156.19999999999999</v>
      </c>
      <c r="L9">
        <v>183.7</v>
      </c>
      <c r="M9">
        <v>164.6</v>
      </c>
      <c r="N9">
        <v>155.4</v>
      </c>
      <c r="O9">
        <v>166</v>
      </c>
      <c r="P9">
        <v>115.1</v>
      </c>
      <c r="Q9">
        <v>168.5</v>
      </c>
      <c r="R9">
        <v>160</v>
      </c>
      <c r="S9">
        <v>172.4</v>
      </c>
      <c r="T9">
        <v>162.6</v>
      </c>
      <c r="U9">
        <v>190.8</v>
      </c>
      <c r="V9">
        <v>162.19999999999999</v>
      </c>
      <c r="W9">
        <v>151.80000000000001</v>
      </c>
      <c r="X9">
        <v>160.69999999999999</v>
      </c>
      <c r="Y9">
        <v>160.5</v>
      </c>
      <c r="Z9">
        <v>159.80000000000001</v>
      </c>
      <c r="AA9">
        <v>154.80000000000001</v>
      </c>
      <c r="AB9">
        <v>166.3</v>
      </c>
      <c r="AC9">
        <v>150.69999999999999</v>
      </c>
      <c r="AD9">
        <v>154.9</v>
      </c>
      <c r="AE9">
        <v>161.69999999999999</v>
      </c>
      <c r="AF9">
        <v>158.80000000000001</v>
      </c>
      <c r="AG9">
        <v>157.6</v>
      </c>
      <c r="AH9">
        <v>161.30000000000001</v>
      </c>
      <c r="AJ9" s="49" t="s">
        <v>7</v>
      </c>
      <c r="AK9" s="50">
        <f>CORREL($B$4:$B$32,Table27[Oils and fats])</f>
        <v>0.74315929078527754</v>
      </c>
    </row>
    <row r="10" spans="1:37" x14ac:dyDescent="0.35">
      <c r="A10" s="44">
        <v>44378</v>
      </c>
      <c r="B10" s="45">
        <v>59460.950438057756</v>
      </c>
      <c r="E10" t="s">
        <v>34</v>
      </c>
      <c r="F10">
        <v>2021</v>
      </c>
      <c r="G10" t="s">
        <v>40</v>
      </c>
      <c r="H10">
        <v>146.4</v>
      </c>
      <c r="I10">
        <v>206.8</v>
      </c>
      <c r="J10">
        <v>182.2</v>
      </c>
      <c r="K10">
        <v>157.5</v>
      </c>
      <c r="L10">
        <v>182.1</v>
      </c>
      <c r="M10">
        <v>163.9</v>
      </c>
      <c r="N10">
        <v>164.2</v>
      </c>
      <c r="O10">
        <v>164</v>
      </c>
      <c r="P10">
        <v>114.5</v>
      </c>
      <c r="Q10">
        <v>168.3</v>
      </c>
      <c r="R10">
        <v>160.9</v>
      </c>
      <c r="S10">
        <v>172.2</v>
      </c>
      <c r="T10">
        <v>164</v>
      </c>
      <c r="U10">
        <v>191.2</v>
      </c>
      <c r="V10">
        <v>162.80000000000001</v>
      </c>
      <c r="W10">
        <v>153.1</v>
      </c>
      <c r="X10">
        <v>161.4</v>
      </c>
      <c r="Y10">
        <v>161.5</v>
      </c>
      <c r="Z10">
        <v>160.69999999999999</v>
      </c>
      <c r="AA10">
        <v>155.80000000000001</v>
      </c>
      <c r="AB10">
        <v>167</v>
      </c>
      <c r="AC10">
        <v>153.1</v>
      </c>
      <c r="AD10">
        <v>155.30000000000001</v>
      </c>
      <c r="AE10">
        <v>163.19999999999999</v>
      </c>
      <c r="AF10">
        <v>160.1</v>
      </c>
      <c r="AG10">
        <v>159</v>
      </c>
      <c r="AH10">
        <v>162.5</v>
      </c>
      <c r="AJ10" s="49" t="s">
        <v>8</v>
      </c>
      <c r="AK10" s="50">
        <f>CORREL($B$4:$B$32,Table27[Fruits])</f>
        <v>0.55796244846152432</v>
      </c>
    </row>
    <row r="11" spans="1:37" x14ac:dyDescent="0.35">
      <c r="A11" s="46">
        <v>44409</v>
      </c>
      <c r="B11" s="45">
        <v>67310.659830633638</v>
      </c>
      <c r="E11" t="s">
        <v>34</v>
      </c>
      <c r="F11">
        <v>2021</v>
      </c>
      <c r="G11" t="s">
        <v>41</v>
      </c>
      <c r="H11">
        <v>146.6</v>
      </c>
      <c r="I11">
        <v>204</v>
      </c>
      <c r="J11">
        <v>172.8</v>
      </c>
      <c r="K11">
        <v>158.4</v>
      </c>
      <c r="L11">
        <v>188</v>
      </c>
      <c r="M11">
        <v>156.80000000000001</v>
      </c>
      <c r="N11">
        <v>162.19999999999999</v>
      </c>
      <c r="O11">
        <v>164.1</v>
      </c>
      <c r="P11">
        <v>119.7</v>
      </c>
      <c r="Q11">
        <v>168.8</v>
      </c>
      <c r="R11">
        <v>162.69999999999999</v>
      </c>
      <c r="S11">
        <v>173.9</v>
      </c>
      <c r="T11">
        <v>164</v>
      </c>
      <c r="U11">
        <v>192.1</v>
      </c>
      <c r="V11">
        <v>164.5</v>
      </c>
      <c r="W11">
        <v>155.30000000000001</v>
      </c>
      <c r="X11">
        <v>163.19999999999999</v>
      </c>
      <c r="Y11">
        <v>162.1</v>
      </c>
      <c r="Z11">
        <v>162.6</v>
      </c>
      <c r="AA11">
        <v>157.5</v>
      </c>
      <c r="AB11">
        <v>168.4</v>
      </c>
      <c r="AC11">
        <v>154</v>
      </c>
      <c r="AD11">
        <v>157.6</v>
      </c>
      <c r="AE11">
        <v>163.80000000000001</v>
      </c>
      <c r="AF11">
        <v>160</v>
      </c>
      <c r="AG11">
        <v>160</v>
      </c>
      <c r="AH11">
        <v>163.19999999999999</v>
      </c>
      <c r="AJ11" s="49" t="s">
        <v>9</v>
      </c>
      <c r="AK11" s="50">
        <f>CORREL($B$4:$B$32,Table27[Vegetables])</f>
        <v>0.31781417003511586</v>
      </c>
    </row>
    <row r="12" spans="1:37" x14ac:dyDescent="0.35">
      <c r="A12" s="44">
        <v>44440</v>
      </c>
      <c r="B12" s="45">
        <v>69109.876194440018</v>
      </c>
      <c r="E12" t="s">
        <v>34</v>
      </c>
      <c r="F12">
        <v>2021</v>
      </c>
      <c r="G12" t="s">
        <v>42</v>
      </c>
      <c r="H12">
        <v>146.6</v>
      </c>
      <c r="I12">
        <v>204</v>
      </c>
      <c r="J12">
        <v>172.8</v>
      </c>
      <c r="K12">
        <v>158.4</v>
      </c>
      <c r="L12">
        <v>188</v>
      </c>
      <c r="M12">
        <v>156.69999999999999</v>
      </c>
      <c r="N12">
        <v>162.30000000000001</v>
      </c>
      <c r="O12">
        <v>164.1</v>
      </c>
      <c r="P12">
        <v>119.7</v>
      </c>
      <c r="Q12">
        <v>168.8</v>
      </c>
      <c r="R12">
        <v>162.69999999999999</v>
      </c>
      <c r="S12">
        <v>173.9</v>
      </c>
      <c r="T12">
        <v>164</v>
      </c>
      <c r="U12">
        <v>192.1</v>
      </c>
      <c r="V12">
        <v>164.6</v>
      </c>
      <c r="W12">
        <v>155.30000000000001</v>
      </c>
      <c r="X12">
        <v>163.30000000000001</v>
      </c>
      <c r="Y12">
        <v>162.1</v>
      </c>
      <c r="Z12">
        <v>162.6</v>
      </c>
      <c r="AA12">
        <v>157.5</v>
      </c>
      <c r="AB12">
        <v>168.4</v>
      </c>
      <c r="AC12">
        <v>154</v>
      </c>
      <c r="AD12">
        <v>157.69999999999999</v>
      </c>
      <c r="AE12">
        <v>163.69999999999999</v>
      </c>
      <c r="AF12">
        <v>160</v>
      </c>
      <c r="AG12">
        <v>160</v>
      </c>
      <c r="AH12">
        <v>163.19999999999999</v>
      </c>
      <c r="AJ12" s="49" t="s">
        <v>10</v>
      </c>
      <c r="AK12" s="50">
        <f>CORREL($B$4:$B$32,Table27[Pulses and products])</f>
        <v>0.33001936012574623</v>
      </c>
    </row>
    <row r="13" spans="1:37" x14ac:dyDescent="0.35">
      <c r="A13" s="46">
        <v>44470</v>
      </c>
      <c r="B13" s="45">
        <v>72054.19693085934</v>
      </c>
      <c r="E13" t="s">
        <v>34</v>
      </c>
      <c r="F13">
        <v>2021</v>
      </c>
      <c r="G13" t="s">
        <v>43</v>
      </c>
      <c r="H13">
        <v>147.4</v>
      </c>
      <c r="I13">
        <v>204.6</v>
      </c>
      <c r="J13">
        <v>171.2</v>
      </c>
      <c r="K13">
        <v>158.69999999999999</v>
      </c>
      <c r="L13">
        <v>190.6</v>
      </c>
      <c r="M13">
        <v>155.69999999999999</v>
      </c>
      <c r="N13">
        <v>185.3</v>
      </c>
      <c r="O13">
        <v>165.2</v>
      </c>
      <c r="P13">
        <v>121.9</v>
      </c>
      <c r="Q13">
        <v>169.3</v>
      </c>
      <c r="R13">
        <v>163.19999999999999</v>
      </c>
      <c r="S13">
        <v>174.7</v>
      </c>
      <c r="T13">
        <v>167.7</v>
      </c>
      <c r="U13">
        <v>192.7</v>
      </c>
      <c r="V13">
        <v>165.7</v>
      </c>
      <c r="W13">
        <v>156.30000000000001</v>
      </c>
      <c r="X13">
        <v>164.3</v>
      </c>
      <c r="Y13">
        <v>163.6</v>
      </c>
      <c r="Z13">
        <v>164.2</v>
      </c>
      <c r="AA13">
        <v>158.4</v>
      </c>
      <c r="AB13">
        <v>169.1</v>
      </c>
      <c r="AC13">
        <v>155.69999999999999</v>
      </c>
      <c r="AD13">
        <v>158.6</v>
      </c>
      <c r="AE13">
        <v>163.9</v>
      </c>
      <c r="AF13">
        <v>160.80000000000001</v>
      </c>
      <c r="AG13">
        <v>161</v>
      </c>
      <c r="AH13">
        <v>165.5</v>
      </c>
      <c r="AJ13" s="49" t="s">
        <v>11</v>
      </c>
      <c r="AK13" s="50">
        <f>CORREL($B$4:$B$32,Table27[Sugar and Confectionery])</f>
        <v>0.5940898684687248</v>
      </c>
    </row>
    <row r="14" spans="1:37" x14ac:dyDescent="0.35">
      <c r="A14" s="44">
        <v>44501</v>
      </c>
      <c r="B14" s="45">
        <v>79009.388695268004</v>
      </c>
      <c r="E14" t="s">
        <v>34</v>
      </c>
      <c r="F14">
        <v>2021</v>
      </c>
      <c r="G14" t="s">
        <v>45</v>
      </c>
      <c r="H14">
        <v>148.19999999999999</v>
      </c>
      <c r="I14">
        <v>201.6</v>
      </c>
      <c r="J14">
        <v>173</v>
      </c>
      <c r="K14">
        <v>159.30000000000001</v>
      </c>
      <c r="L14">
        <v>190.1</v>
      </c>
      <c r="M14">
        <v>156.5</v>
      </c>
      <c r="N14">
        <v>199.2</v>
      </c>
      <c r="O14">
        <v>165.3</v>
      </c>
      <c r="P14">
        <v>122.4</v>
      </c>
      <c r="Q14">
        <v>169.6</v>
      </c>
      <c r="R14">
        <v>163.69999999999999</v>
      </c>
      <c r="S14">
        <v>175.5</v>
      </c>
      <c r="T14">
        <v>169.7</v>
      </c>
      <c r="U14">
        <v>192.9</v>
      </c>
      <c r="V14">
        <v>167.2</v>
      </c>
      <c r="W14">
        <v>157.4</v>
      </c>
      <c r="X14">
        <v>165.8</v>
      </c>
      <c r="Y14">
        <v>164.2</v>
      </c>
      <c r="Z14">
        <v>163.9</v>
      </c>
      <c r="AA14">
        <v>159.30000000000001</v>
      </c>
      <c r="AB14">
        <v>169.9</v>
      </c>
      <c r="AC14">
        <v>154.80000000000001</v>
      </c>
      <c r="AD14">
        <v>159.80000000000001</v>
      </c>
      <c r="AE14">
        <v>164.3</v>
      </c>
      <c r="AF14">
        <v>162.19999999999999</v>
      </c>
      <c r="AG14">
        <v>161.4</v>
      </c>
      <c r="AH14">
        <v>166.7</v>
      </c>
      <c r="AJ14" s="49" t="s">
        <v>12</v>
      </c>
      <c r="AK14" s="50">
        <f>CORREL($B$4:$B$32,Table27[Spices])</f>
        <v>0.52006938849899864</v>
      </c>
    </row>
    <row r="15" spans="1:37" x14ac:dyDescent="0.35">
      <c r="A15" s="46">
        <v>44531</v>
      </c>
      <c r="B15" s="45">
        <v>81771.141778992853</v>
      </c>
      <c r="E15" t="s">
        <v>34</v>
      </c>
      <c r="F15">
        <v>2021</v>
      </c>
      <c r="G15" t="s">
        <v>46</v>
      </c>
      <c r="H15">
        <v>148.69999999999999</v>
      </c>
      <c r="I15">
        <v>198.8</v>
      </c>
      <c r="J15">
        <v>177.9</v>
      </c>
      <c r="K15">
        <v>159.9</v>
      </c>
      <c r="L15">
        <v>187.6</v>
      </c>
      <c r="M15">
        <v>154.9</v>
      </c>
      <c r="N15">
        <v>188.3</v>
      </c>
      <c r="O15">
        <v>164.4</v>
      </c>
      <c r="P15">
        <v>121</v>
      </c>
      <c r="Q15">
        <v>170.5</v>
      </c>
      <c r="R15">
        <v>164.2</v>
      </c>
      <c r="S15">
        <v>176.5</v>
      </c>
      <c r="T15">
        <v>168.2</v>
      </c>
      <c r="U15">
        <v>192.4</v>
      </c>
      <c r="V15">
        <v>168.5</v>
      </c>
      <c r="W15">
        <v>158.69999999999999</v>
      </c>
      <c r="X15">
        <v>167</v>
      </c>
      <c r="Y15">
        <v>163.4</v>
      </c>
      <c r="Z15">
        <v>164.1</v>
      </c>
      <c r="AA15">
        <v>160.19999999999999</v>
      </c>
      <c r="AB15">
        <v>170.6</v>
      </c>
      <c r="AC15">
        <v>155.69999999999999</v>
      </c>
      <c r="AD15">
        <v>160.6</v>
      </c>
      <c r="AE15">
        <v>164.4</v>
      </c>
      <c r="AF15">
        <v>162.6</v>
      </c>
      <c r="AG15">
        <v>162</v>
      </c>
      <c r="AH15">
        <v>166.2</v>
      </c>
      <c r="AJ15" s="49" t="s">
        <v>13</v>
      </c>
      <c r="AK15" s="50">
        <f>CORREL($B$4:$B$32,Table27[Non-alcoholic beverages])</f>
        <v>0.67465887652180412</v>
      </c>
    </row>
    <row r="16" spans="1:37" x14ac:dyDescent="0.35">
      <c r="A16" s="44">
        <v>44562</v>
      </c>
      <c r="B16" s="45">
        <v>86692.515382787504</v>
      </c>
      <c r="E16" t="s">
        <v>34</v>
      </c>
      <c r="F16">
        <v>2022</v>
      </c>
      <c r="G16" t="s">
        <v>31</v>
      </c>
      <c r="H16">
        <v>149.5</v>
      </c>
      <c r="I16">
        <v>198.7</v>
      </c>
      <c r="J16">
        <v>178.8</v>
      </c>
      <c r="K16">
        <v>160.5</v>
      </c>
      <c r="L16">
        <v>184.7</v>
      </c>
      <c r="M16">
        <v>153.69999999999999</v>
      </c>
      <c r="N16">
        <v>174.3</v>
      </c>
      <c r="O16">
        <v>163.9</v>
      </c>
      <c r="P16">
        <v>120</v>
      </c>
      <c r="Q16">
        <v>172.1</v>
      </c>
      <c r="R16">
        <v>164.3</v>
      </c>
      <c r="S16">
        <v>177.3</v>
      </c>
      <c r="T16">
        <v>166.4</v>
      </c>
      <c r="U16">
        <v>192.2</v>
      </c>
      <c r="V16">
        <v>169.9</v>
      </c>
      <c r="W16">
        <v>160.69999999999999</v>
      </c>
      <c r="X16">
        <v>168.5</v>
      </c>
      <c r="Y16">
        <v>164.5</v>
      </c>
      <c r="Z16">
        <v>164.2</v>
      </c>
      <c r="AA16">
        <v>161.1</v>
      </c>
      <c r="AB16">
        <v>171.4</v>
      </c>
      <c r="AC16">
        <v>156.5</v>
      </c>
      <c r="AD16">
        <v>161.19999999999999</v>
      </c>
      <c r="AE16">
        <v>164.7</v>
      </c>
      <c r="AF16">
        <v>163</v>
      </c>
      <c r="AG16">
        <v>162.69999999999999</v>
      </c>
      <c r="AH16">
        <v>165.7</v>
      </c>
      <c r="AJ16" s="49" t="s">
        <v>14</v>
      </c>
      <c r="AK16" s="50">
        <f>CORREL($B$4:$B$32,Table27[Prepared meals, snacks, sweets etc.])</f>
        <v>0.6383864772339537</v>
      </c>
    </row>
    <row r="17" spans="1:37" x14ac:dyDescent="0.35">
      <c r="A17" s="46">
        <v>44593</v>
      </c>
      <c r="B17" s="45">
        <v>87441.416368947481</v>
      </c>
      <c r="E17" t="s">
        <v>34</v>
      </c>
      <c r="F17">
        <v>2022</v>
      </c>
      <c r="G17" t="s">
        <v>35</v>
      </c>
      <c r="H17">
        <v>150</v>
      </c>
      <c r="I17">
        <v>200.6</v>
      </c>
      <c r="J17">
        <v>175.8</v>
      </c>
      <c r="K17">
        <v>160.69999999999999</v>
      </c>
      <c r="L17">
        <v>184.9</v>
      </c>
      <c r="M17">
        <v>153.69999999999999</v>
      </c>
      <c r="N17">
        <v>169.7</v>
      </c>
      <c r="O17">
        <v>163.69999999999999</v>
      </c>
      <c r="P17">
        <v>118.9</v>
      </c>
      <c r="Q17">
        <v>174.3</v>
      </c>
      <c r="R17">
        <v>164.7</v>
      </c>
      <c r="S17">
        <v>178</v>
      </c>
      <c r="T17">
        <v>166.2</v>
      </c>
      <c r="U17">
        <v>192.8</v>
      </c>
      <c r="V17">
        <v>170.8</v>
      </c>
      <c r="W17">
        <v>162.4</v>
      </c>
      <c r="X17">
        <v>169.6</v>
      </c>
      <c r="Y17">
        <v>165.5</v>
      </c>
      <c r="Z17">
        <v>165.7</v>
      </c>
      <c r="AA17">
        <v>161.80000000000001</v>
      </c>
      <c r="AB17">
        <v>172.2</v>
      </c>
      <c r="AC17">
        <v>156.9</v>
      </c>
      <c r="AD17">
        <v>162.1</v>
      </c>
      <c r="AE17">
        <v>165.4</v>
      </c>
      <c r="AF17">
        <v>164.4</v>
      </c>
      <c r="AG17">
        <v>163.5</v>
      </c>
      <c r="AH17">
        <v>166.1</v>
      </c>
      <c r="AJ17" s="49" t="s">
        <v>15</v>
      </c>
      <c r="AK17" s="50">
        <f>CORREL($B$4:$B$32,Table27[Food and beverages])</f>
        <v>0.71154478055470316</v>
      </c>
    </row>
    <row r="18" spans="1:37" x14ac:dyDescent="0.35">
      <c r="A18" s="44">
        <v>44621</v>
      </c>
      <c r="B18" s="45">
        <v>113228.86524779514</v>
      </c>
      <c r="E18" t="s">
        <v>34</v>
      </c>
      <c r="F18">
        <v>2022</v>
      </c>
      <c r="G18" t="s">
        <v>36</v>
      </c>
      <c r="H18">
        <v>151.30000000000001</v>
      </c>
      <c r="I18">
        <v>210.7</v>
      </c>
      <c r="J18">
        <v>167.8</v>
      </c>
      <c r="K18">
        <v>162.19999999999999</v>
      </c>
      <c r="L18">
        <v>194.6</v>
      </c>
      <c r="M18">
        <v>157.6</v>
      </c>
      <c r="N18">
        <v>166.9</v>
      </c>
      <c r="O18">
        <v>163.9</v>
      </c>
      <c r="P18">
        <v>118.8</v>
      </c>
      <c r="Q18">
        <v>177.4</v>
      </c>
      <c r="R18">
        <v>165.3</v>
      </c>
      <c r="S18">
        <v>179.3</v>
      </c>
      <c r="T18">
        <v>168.4</v>
      </c>
      <c r="U18">
        <v>193.7</v>
      </c>
      <c r="V18">
        <v>172.1</v>
      </c>
      <c r="W18">
        <v>164.6</v>
      </c>
      <c r="X18">
        <v>171.1</v>
      </c>
      <c r="Y18">
        <v>165.3</v>
      </c>
      <c r="Z18">
        <v>167.2</v>
      </c>
      <c r="AA18">
        <v>162.80000000000001</v>
      </c>
      <c r="AB18">
        <v>173</v>
      </c>
      <c r="AC18">
        <v>157.9</v>
      </c>
      <c r="AD18">
        <v>163.30000000000001</v>
      </c>
      <c r="AE18">
        <v>166</v>
      </c>
      <c r="AF18">
        <v>167.2</v>
      </c>
      <c r="AG18">
        <v>164.6</v>
      </c>
      <c r="AH18">
        <v>167.7</v>
      </c>
      <c r="AJ18" s="49" t="s">
        <v>16</v>
      </c>
      <c r="AK18" s="50">
        <f>CORREL($B$4:$B$32,Table27[Pan, tobacco and intoxicants])</f>
        <v>0.53336580681006995</v>
      </c>
    </row>
    <row r="19" spans="1:37" x14ac:dyDescent="0.35">
      <c r="A19" s="46">
        <v>44652</v>
      </c>
      <c r="B19" s="45">
        <v>128800.06584155018</v>
      </c>
      <c r="E19" t="s">
        <v>34</v>
      </c>
      <c r="F19">
        <v>2022</v>
      </c>
      <c r="G19" t="s">
        <v>37</v>
      </c>
      <c r="H19">
        <v>152.9</v>
      </c>
      <c r="I19">
        <v>211.8</v>
      </c>
      <c r="J19">
        <v>164.5</v>
      </c>
      <c r="K19">
        <v>163.9</v>
      </c>
      <c r="L19">
        <v>199.5</v>
      </c>
      <c r="M19">
        <v>172.6</v>
      </c>
      <c r="N19">
        <v>166.2</v>
      </c>
      <c r="O19">
        <v>164.7</v>
      </c>
      <c r="P19">
        <v>119</v>
      </c>
      <c r="Q19">
        <v>181.3</v>
      </c>
      <c r="R19">
        <v>166.2</v>
      </c>
      <c r="S19">
        <v>180.9</v>
      </c>
      <c r="T19">
        <v>170.8</v>
      </c>
      <c r="U19">
        <v>193.9</v>
      </c>
      <c r="V19">
        <v>173.9</v>
      </c>
      <c r="W19">
        <v>166.5</v>
      </c>
      <c r="X19">
        <v>172.8</v>
      </c>
      <c r="Y19">
        <v>167</v>
      </c>
      <c r="Z19">
        <v>172.2</v>
      </c>
      <c r="AA19">
        <v>164</v>
      </c>
      <c r="AB19">
        <v>174</v>
      </c>
      <c r="AC19">
        <v>162.6</v>
      </c>
      <c r="AD19">
        <v>164.4</v>
      </c>
      <c r="AE19">
        <v>166.9</v>
      </c>
      <c r="AF19">
        <v>168.8</v>
      </c>
      <c r="AG19">
        <v>166.8</v>
      </c>
      <c r="AH19">
        <v>170.1</v>
      </c>
      <c r="AJ19" s="49" t="s">
        <v>17</v>
      </c>
      <c r="AK19" s="50">
        <f>CORREL($B$4:$B$32,Table27[Clothing])</f>
        <v>0.67076047270877459</v>
      </c>
    </row>
    <row r="20" spans="1:37" x14ac:dyDescent="0.35">
      <c r="A20" s="44">
        <v>44682</v>
      </c>
      <c r="B20" s="45">
        <v>119633.62181054099</v>
      </c>
      <c r="E20" t="s">
        <v>34</v>
      </c>
      <c r="F20">
        <v>2022</v>
      </c>
      <c r="G20" t="s">
        <v>38</v>
      </c>
      <c r="H20">
        <v>154.1</v>
      </c>
      <c r="I20">
        <v>217</v>
      </c>
      <c r="J20">
        <v>162.4</v>
      </c>
      <c r="K20">
        <v>164.9</v>
      </c>
      <c r="L20">
        <v>202.4</v>
      </c>
      <c r="M20">
        <v>171</v>
      </c>
      <c r="N20">
        <v>174.9</v>
      </c>
      <c r="O20">
        <v>164.7</v>
      </c>
      <c r="P20">
        <v>119.7</v>
      </c>
      <c r="Q20">
        <v>184.9</v>
      </c>
      <c r="R20">
        <v>167.1</v>
      </c>
      <c r="S20">
        <v>182.5</v>
      </c>
      <c r="T20">
        <v>173.3</v>
      </c>
      <c r="U20">
        <v>194.1</v>
      </c>
      <c r="V20">
        <v>175.6</v>
      </c>
      <c r="W20">
        <v>168.4</v>
      </c>
      <c r="X20">
        <v>174.6</v>
      </c>
      <c r="Y20">
        <v>167.5</v>
      </c>
      <c r="Z20">
        <v>174.6</v>
      </c>
      <c r="AA20">
        <v>165.2</v>
      </c>
      <c r="AB20">
        <v>174.8</v>
      </c>
      <c r="AC20">
        <v>163</v>
      </c>
      <c r="AD20">
        <v>165.1</v>
      </c>
      <c r="AE20">
        <v>167.9</v>
      </c>
      <c r="AF20">
        <v>168.4</v>
      </c>
      <c r="AG20">
        <v>167.5</v>
      </c>
      <c r="AH20">
        <v>171.7</v>
      </c>
      <c r="AJ20" s="49" t="s">
        <v>18</v>
      </c>
      <c r="AK20" s="50">
        <f>CORREL($B$4:$B$32,Table27[Footwear])</f>
        <v>0.69639639494222561</v>
      </c>
    </row>
    <row r="21" spans="1:37" x14ac:dyDescent="0.35">
      <c r="A21" s="46">
        <v>44713</v>
      </c>
      <c r="B21" s="45">
        <v>121897.63969956485</v>
      </c>
      <c r="E21" t="s">
        <v>34</v>
      </c>
      <c r="F21">
        <v>2022</v>
      </c>
      <c r="G21" t="s">
        <v>39</v>
      </c>
      <c r="H21">
        <v>155</v>
      </c>
      <c r="I21">
        <v>219.4</v>
      </c>
      <c r="J21">
        <v>170.8</v>
      </c>
      <c r="K21">
        <v>165.8</v>
      </c>
      <c r="L21">
        <v>200.9</v>
      </c>
      <c r="M21">
        <v>169.7</v>
      </c>
      <c r="N21">
        <v>182.3</v>
      </c>
      <c r="O21">
        <v>164.3</v>
      </c>
      <c r="P21">
        <v>119.9</v>
      </c>
      <c r="Q21">
        <v>187.1</v>
      </c>
      <c r="R21">
        <v>167.9</v>
      </c>
      <c r="S21">
        <v>183.9</v>
      </c>
      <c r="T21">
        <v>174.9</v>
      </c>
      <c r="U21">
        <v>194.3</v>
      </c>
      <c r="V21">
        <v>177.1</v>
      </c>
      <c r="W21">
        <v>169.9</v>
      </c>
      <c r="X21">
        <v>176</v>
      </c>
      <c r="Y21">
        <v>166.8</v>
      </c>
      <c r="Z21">
        <v>176</v>
      </c>
      <c r="AA21">
        <v>166.4</v>
      </c>
      <c r="AB21">
        <v>175.4</v>
      </c>
      <c r="AC21">
        <v>161.1</v>
      </c>
      <c r="AD21">
        <v>165.8</v>
      </c>
      <c r="AE21">
        <v>169</v>
      </c>
      <c r="AF21">
        <v>169.4</v>
      </c>
      <c r="AG21">
        <v>167.5</v>
      </c>
      <c r="AH21">
        <v>172.6</v>
      </c>
      <c r="AJ21" s="49" t="s">
        <v>19</v>
      </c>
      <c r="AK21" s="50">
        <f>CORREL($B$4:$B$32,Table27[Clothing and footwear])</f>
        <v>0.67506838615451836</v>
      </c>
    </row>
    <row r="22" spans="1:37" x14ac:dyDescent="0.35">
      <c r="A22" s="44">
        <v>44743</v>
      </c>
      <c r="B22" s="45">
        <v>128755.46490262874</v>
      </c>
      <c r="E22" t="s">
        <v>34</v>
      </c>
      <c r="F22">
        <v>2022</v>
      </c>
      <c r="G22" t="s">
        <v>40</v>
      </c>
      <c r="H22">
        <v>156.5</v>
      </c>
      <c r="I22">
        <v>213</v>
      </c>
      <c r="J22">
        <v>175.2</v>
      </c>
      <c r="K22">
        <v>166.6</v>
      </c>
      <c r="L22">
        <v>195.8</v>
      </c>
      <c r="M22">
        <v>174.2</v>
      </c>
      <c r="N22">
        <v>182.1</v>
      </c>
      <c r="O22">
        <v>164.3</v>
      </c>
      <c r="P22">
        <v>120</v>
      </c>
      <c r="Q22">
        <v>190</v>
      </c>
      <c r="R22">
        <v>168.4</v>
      </c>
      <c r="S22">
        <v>185.2</v>
      </c>
      <c r="T22">
        <v>175</v>
      </c>
      <c r="U22">
        <v>194.6</v>
      </c>
      <c r="V22">
        <v>178.3</v>
      </c>
      <c r="W22">
        <v>171.3</v>
      </c>
      <c r="X22">
        <v>177.3</v>
      </c>
      <c r="Y22">
        <v>167.8</v>
      </c>
      <c r="Z22">
        <v>179.6</v>
      </c>
      <c r="AA22">
        <v>167.4</v>
      </c>
      <c r="AB22">
        <v>176.1</v>
      </c>
      <c r="AC22">
        <v>161.6</v>
      </c>
      <c r="AD22">
        <v>166.3</v>
      </c>
      <c r="AE22">
        <v>171.4</v>
      </c>
      <c r="AF22">
        <v>169.7</v>
      </c>
      <c r="AG22">
        <v>168.4</v>
      </c>
      <c r="AH22">
        <v>173.4</v>
      </c>
      <c r="AJ22" s="49" t="s">
        <v>20</v>
      </c>
      <c r="AK22" s="50">
        <f>CORREL($B$4:$B$32,Table27[Housing])</f>
        <v>0.58648079304588541</v>
      </c>
    </row>
    <row r="23" spans="1:37" x14ac:dyDescent="0.35">
      <c r="A23" s="46">
        <v>44774</v>
      </c>
      <c r="B23" s="45">
        <v>104567.31614182114</v>
      </c>
      <c r="E23" t="s">
        <v>34</v>
      </c>
      <c r="F23">
        <v>2022</v>
      </c>
      <c r="G23" t="s">
        <v>41</v>
      </c>
      <c r="H23">
        <v>160.30000000000001</v>
      </c>
      <c r="I23">
        <v>206.5</v>
      </c>
      <c r="J23">
        <v>169.2</v>
      </c>
      <c r="K23">
        <v>168.1</v>
      </c>
      <c r="L23">
        <v>192.4</v>
      </c>
      <c r="M23">
        <v>172.9</v>
      </c>
      <c r="N23">
        <v>186.7</v>
      </c>
      <c r="O23">
        <v>167.2</v>
      </c>
      <c r="P23">
        <v>120.9</v>
      </c>
      <c r="Q23">
        <v>193.6</v>
      </c>
      <c r="R23">
        <v>168.8</v>
      </c>
      <c r="S23">
        <v>186.3</v>
      </c>
      <c r="T23">
        <v>176.3</v>
      </c>
      <c r="U23">
        <v>195</v>
      </c>
      <c r="V23">
        <v>179.5</v>
      </c>
      <c r="W23">
        <v>172.7</v>
      </c>
      <c r="X23">
        <v>178.5</v>
      </c>
      <c r="Y23">
        <v>169</v>
      </c>
      <c r="Z23">
        <v>178.8</v>
      </c>
      <c r="AA23">
        <v>168.5</v>
      </c>
      <c r="AB23">
        <v>176.8</v>
      </c>
      <c r="AC23">
        <v>161.9</v>
      </c>
      <c r="AD23">
        <v>166.9</v>
      </c>
      <c r="AE23">
        <v>172.3</v>
      </c>
      <c r="AF23">
        <v>171.2</v>
      </c>
      <c r="AG23">
        <v>169.1</v>
      </c>
      <c r="AH23">
        <v>174.3</v>
      </c>
      <c r="AJ23" s="49" t="s">
        <v>21</v>
      </c>
      <c r="AK23" s="50">
        <f>CORREL($B$4:$B$32,Table27[Fuel and light])</f>
        <v>0.71397817777902972</v>
      </c>
    </row>
    <row r="24" spans="1:37" x14ac:dyDescent="0.35">
      <c r="A24" s="44">
        <v>44805</v>
      </c>
      <c r="B24" s="45">
        <v>95157.741525290738</v>
      </c>
      <c r="E24" t="s">
        <v>34</v>
      </c>
      <c r="F24">
        <v>2022</v>
      </c>
      <c r="G24" t="s">
        <v>42</v>
      </c>
      <c r="H24">
        <v>163.5</v>
      </c>
      <c r="I24">
        <v>209.2</v>
      </c>
      <c r="J24">
        <v>169.7</v>
      </c>
      <c r="K24">
        <v>169.7</v>
      </c>
      <c r="L24">
        <v>188.7</v>
      </c>
      <c r="M24">
        <v>165.7</v>
      </c>
      <c r="N24">
        <v>191.8</v>
      </c>
      <c r="O24">
        <v>169.1</v>
      </c>
      <c r="P24">
        <v>121.6</v>
      </c>
      <c r="Q24">
        <v>197.3</v>
      </c>
      <c r="R24">
        <v>169.4</v>
      </c>
      <c r="S24">
        <v>187.4</v>
      </c>
      <c r="T24">
        <v>177.8</v>
      </c>
      <c r="U24">
        <v>195.9</v>
      </c>
      <c r="V24">
        <v>180.9</v>
      </c>
      <c r="W24">
        <v>174.3</v>
      </c>
      <c r="X24">
        <v>179.9</v>
      </c>
      <c r="Y24">
        <v>169.5</v>
      </c>
      <c r="Z24">
        <v>179.5</v>
      </c>
      <c r="AA24">
        <v>169.5</v>
      </c>
      <c r="AB24">
        <v>177.8</v>
      </c>
      <c r="AC24">
        <v>162.30000000000001</v>
      </c>
      <c r="AD24">
        <v>167.6</v>
      </c>
      <c r="AE24">
        <v>173.1</v>
      </c>
      <c r="AF24">
        <v>170.9</v>
      </c>
      <c r="AG24">
        <v>169.7</v>
      </c>
      <c r="AH24">
        <v>175.3</v>
      </c>
      <c r="AJ24" s="49" t="s">
        <v>22</v>
      </c>
      <c r="AK24" s="50">
        <f>CORREL($B$4:$B$32,Table27[Household goods and services])</f>
        <v>0.6563629863434387</v>
      </c>
    </row>
    <row r="25" spans="1:37" x14ac:dyDescent="0.35">
      <c r="A25" s="46">
        <v>44835</v>
      </c>
      <c r="B25" s="45">
        <v>99194.385511237808</v>
      </c>
      <c r="E25" t="s">
        <v>34</v>
      </c>
      <c r="F25">
        <v>2022</v>
      </c>
      <c r="G25" t="s">
        <v>43</v>
      </c>
      <c r="H25">
        <v>165.2</v>
      </c>
      <c r="I25">
        <v>210.9</v>
      </c>
      <c r="J25">
        <v>170.9</v>
      </c>
      <c r="K25">
        <v>170.9</v>
      </c>
      <c r="L25">
        <v>186.5</v>
      </c>
      <c r="M25">
        <v>163.80000000000001</v>
      </c>
      <c r="N25">
        <v>199.7</v>
      </c>
      <c r="O25">
        <v>169.8</v>
      </c>
      <c r="P25">
        <v>121.9</v>
      </c>
      <c r="Q25">
        <v>199.9</v>
      </c>
      <c r="R25">
        <v>169.9</v>
      </c>
      <c r="S25">
        <v>188.3</v>
      </c>
      <c r="T25">
        <v>179.6</v>
      </c>
      <c r="U25">
        <v>196.3</v>
      </c>
      <c r="V25">
        <v>181.9</v>
      </c>
      <c r="W25">
        <v>175.3</v>
      </c>
      <c r="X25">
        <v>181</v>
      </c>
      <c r="Y25">
        <v>171.2</v>
      </c>
      <c r="Z25">
        <v>180.5</v>
      </c>
      <c r="AA25">
        <v>170.4</v>
      </c>
      <c r="AB25">
        <v>178.7</v>
      </c>
      <c r="AC25">
        <v>162.9</v>
      </c>
      <c r="AD25">
        <v>168.2</v>
      </c>
      <c r="AE25">
        <v>173.4</v>
      </c>
      <c r="AF25">
        <v>172.1</v>
      </c>
      <c r="AG25">
        <v>170.5</v>
      </c>
      <c r="AH25">
        <v>176.7</v>
      </c>
      <c r="AJ25" s="49" t="s">
        <v>23</v>
      </c>
      <c r="AK25" s="50">
        <f>CORREL($B$4:$B$32,Table27[Health])</f>
        <v>0.61921566416500318</v>
      </c>
    </row>
    <row r="26" spans="1:37" x14ac:dyDescent="0.35">
      <c r="A26" s="44">
        <v>44866</v>
      </c>
      <c r="B26" s="45">
        <v>100258.75918442282</v>
      </c>
      <c r="E26" t="s">
        <v>34</v>
      </c>
      <c r="F26">
        <v>2022</v>
      </c>
      <c r="G26" t="s">
        <v>45</v>
      </c>
      <c r="H26">
        <v>167.4</v>
      </c>
      <c r="I26">
        <v>209.4</v>
      </c>
      <c r="J26">
        <v>181.4</v>
      </c>
      <c r="K26">
        <v>172.3</v>
      </c>
      <c r="L26">
        <v>188.9</v>
      </c>
      <c r="M26">
        <v>160.69999999999999</v>
      </c>
      <c r="N26">
        <v>183.1</v>
      </c>
      <c r="O26">
        <v>170.5</v>
      </c>
      <c r="P26">
        <v>122.1</v>
      </c>
      <c r="Q26">
        <v>202.8</v>
      </c>
      <c r="R26">
        <v>170.4</v>
      </c>
      <c r="S26">
        <v>189.5</v>
      </c>
      <c r="T26">
        <v>178.3</v>
      </c>
      <c r="U26">
        <v>196.9</v>
      </c>
      <c r="V26">
        <v>183.1</v>
      </c>
      <c r="W26">
        <v>176.2</v>
      </c>
      <c r="X26">
        <v>182.1</v>
      </c>
      <c r="Y26">
        <v>171.8</v>
      </c>
      <c r="Z26">
        <v>181.3</v>
      </c>
      <c r="AA26">
        <v>171.4</v>
      </c>
      <c r="AB26">
        <v>179.8</v>
      </c>
      <c r="AC26">
        <v>163</v>
      </c>
      <c r="AD26">
        <v>168.5</v>
      </c>
      <c r="AE26">
        <v>173.7</v>
      </c>
      <c r="AF26">
        <v>173.6</v>
      </c>
      <c r="AG26">
        <v>171.1</v>
      </c>
      <c r="AH26">
        <v>176.5</v>
      </c>
      <c r="AJ26" s="49" t="s">
        <v>24</v>
      </c>
      <c r="AK26" s="50">
        <f>CORREL($B$4:$B$32,Table27[Transport and communication])</f>
        <v>0.77547015609515013</v>
      </c>
    </row>
    <row r="27" spans="1:37" x14ac:dyDescent="0.35">
      <c r="A27" s="46">
        <v>44896</v>
      </c>
      <c r="B27" s="45">
        <v>94253.237400611397</v>
      </c>
      <c r="E27" t="s">
        <v>34</v>
      </c>
      <c r="F27">
        <v>2022</v>
      </c>
      <c r="G27" t="s">
        <v>46</v>
      </c>
      <c r="H27">
        <v>169.2</v>
      </c>
      <c r="I27">
        <v>209</v>
      </c>
      <c r="J27">
        <v>190.2</v>
      </c>
      <c r="K27">
        <v>173.6</v>
      </c>
      <c r="L27">
        <v>188.5</v>
      </c>
      <c r="M27">
        <v>158</v>
      </c>
      <c r="N27">
        <v>159.9</v>
      </c>
      <c r="O27">
        <v>170.8</v>
      </c>
      <c r="P27">
        <v>121.8</v>
      </c>
      <c r="Q27">
        <v>205.2</v>
      </c>
      <c r="R27">
        <v>171</v>
      </c>
      <c r="S27">
        <v>190.3</v>
      </c>
      <c r="T27">
        <v>175.9</v>
      </c>
      <c r="U27">
        <v>197.3</v>
      </c>
      <c r="V27">
        <v>184</v>
      </c>
      <c r="W27">
        <v>177</v>
      </c>
      <c r="X27">
        <v>183</v>
      </c>
      <c r="Y27">
        <v>170.7</v>
      </c>
      <c r="Z27">
        <v>182</v>
      </c>
      <c r="AA27">
        <v>172.1</v>
      </c>
      <c r="AB27">
        <v>181.1</v>
      </c>
      <c r="AC27">
        <v>163.4</v>
      </c>
      <c r="AD27">
        <v>168.9</v>
      </c>
      <c r="AE27">
        <v>174.1</v>
      </c>
      <c r="AF27">
        <v>175.8</v>
      </c>
      <c r="AG27">
        <v>172</v>
      </c>
      <c r="AH27">
        <v>175.7</v>
      </c>
      <c r="AJ27" s="49" t="s">
        <v>25</v>
      </c>
      <c r="AK27" s="50">
        <f>CORREL($B$4:$B$32,Table27[Recreation and amusement])</f>
        <v>0.72565118597162137</v>
      </c>
    </row>
    <row r="28" spans="1:37" x14ac:dyDescent="0.35">
      <c r="A28" s="44">
        <v>44927</v>
      </c>
      <c r="B28" s="45">
        <v>92441.854830099124</v>
      </c>
      <c r="E28" t="s">
        <v>34</v>
      </c>
      <c r="F28">
        <v>2023</v>
      </c>
      <c r="G28" t="s">
        <v>31</v>
      </c>
      <c r="H28">
        <v>173.8</v>
      </c>
      <c r="I28">
        <v>210.7</v>
      </c>
      <c r="J28">
        <v>194.5</v>
      </c>
      <c r="K28">
        <v>174.6</v>
      </c>
      <c r="L28">
        <v>187.2</v>
      </c>
      <c r="M28">
        <v>158.30000000000001</v>
      </c>
      <c r="N28">
        <v>153.9</v>
      </c>
      <c r="O28">
        <v>170.9</v>
      </c>
      <c r="P28">
        <v>121.1</v>
      </c>
      <c r="Q28">
        <v>208.4</v>
      </c>
      <c r="R28">
        <v>171.4</v>
      </c>
      <c r="S28">
        <v>191.2</v>
      </c>
      <c r="T28">
        <v>176.7</v>
      </c>
      <c r="U28">
        <v>198.2</v>
      </c>
      <c r="V28">
        <v>184.9</v>
      </c>
      <c r="W28">
        <v>177.6</v>
      </c>
      <c r="X28">
        <v>183.8</v>
      </c>
      <c r="Y28">
        <v>172.1</v>
      </c>
      <c r="Z28">
        <v>182</v>
      </c>
      <c r="AA28">
        <v>172.9</v>
      </c>
      <c r="AB28">
        <v>182.3</v>
      </c>
      <c r="AC28">
        <v>163.6</v>
      </c>
      <c r="AD28">
        <v>169.5</v>
      </c>
      <c r="AE28">
        <v>174.3</v>
      </c>
      <c r="AF28">
        <v>178.6</v>
      </c>
      <c r="AG28">
        <v>172.8</v>
      </c>
      <c r="AH28">
        <v>176.5</v>
      </c>
      <c r="AJ28" s="49" t="s">
        <v>26</v>
      </c>
      <c r="AK28" s="50">
        <f>CORREL($B$4:$B$32,Table27[Education])</f>
        <v>0.60140630888501889</v>
      </c>
    </row>
    <row r="29" spans="1:37" x14ac:dyDescent="0.35">
      <c r="A29" s="46">
        <v>44958</v>
      </c>
      <c r="B29" s="45">
        <v>85798.258921224522</v>
      </c>
      <c r="E29" t="s">
        <v>34</v>
      </c>
      <c r="F29">
        <v>2023</v>
      </c>
      <c r="G29" t="s">
        <v>35</v>
      </c>
      <c r="H29">
        <v>174.4</v>
      </c>
      <c r="I29">
        <v>207.7</v>
      </c>
      <c r="J29">
        <v>175.2</v>
      </c>
      <c r="K29">
        <v>177.3</v>
      </c>
      <c r="L29">
        <v>179.3</v>
      </c>
      <c r="M29">
        <v>169.5</v>
      </c>
      <c r="N29">
        <v>152.69999999999999</v>
      </c>
      <c r="O29">
        <v>171</v>
      </c>
      <c r="P29">
        <v>120</v>
      </c>
      <c r="Q29">
        <v>209.7</v>
      </c>
      <c r="R29">
        <v>172.3</v>
      </c>
      <c r="S29">
        <v>193</v>
      </c>
      <c r="T29">
        <v>177</v>
      </c>
      <c r="U29">
        <v>199.5</v>
      </c>
      <c r="V29">
        <v>186.2</v>
      </c>
      <c r="W29">
        <v>178.7</v>
      </c>
      <c r="X29">
        <v>185.1</v>
      </c>
      <c r="Y29">
        <v>173.5</v>
      </c>
      <c r="Z29">
        <v>182.1</v>
      </c>
      <c r="AA29">
        <v>174.2</v>
      </c>
      <c r="AB29">
        <v>184.4</v>
      </c>
      <c r="AC29">
        <v>164.2</v>
      </c>
      <c r="AD29">
        <v>170.3</v>
      </c>
      <c r="AE29">
        <v>175</v>
      </c>
      <c r="AF29">
        <v>181</v>
      </c>
      <c r="AG29">
        <v>174.1</v>
      </c>
      <c r="AH29">
        <v>177.2</v>
      </c>
      <c r="AJ29" s="49" t="s">
        <v>27</v>
      </c>
      <c r="AK29" s="50">
        <f>CORREL($B$4:$B$32,Table27[Personal care and effects])</f>
        <v>0.5635171260722901</v>
      </c>
    </row>
    <row r="30" spans="1:37" x14ac:dyDescent="0.35">
      <c r="A30" s="44">
        <v>44986</v>
      </c>
      <c r="B30" s="45">
        <v>89613.478577777831</v>
      </c>
      <c r="E30" t="s">
        <v>34</v>
      </c>
      <c r="F30">
        <v>2023</v>
      </c>
      <c r="G30" t="s">
        <v>36</v>
      </c>
      <c r="H30">
        <v>174.4</v>
      </c>
      <c r="I30">
        <v>207.7</v>
      </c>
      <c r="J30">
        <v>175.2</v>
      </c>
      <c r="K30">
        <v>177.3</v>
      </c>
      <c r="L30">
        <v>179.2</v>
      </c>
      <c r="M30">
        <v>169.5</v>
      </c>
      <c r="N30">
        <v>152.80000000000001</v>
      </c>
      <c r="O30">
        <v>171.1</v>
      </c>
      <c r="P30">
        <v>120</v>
      </c>
      <c r="Q30">
        <v>209.7</v>
      </c>
      <c r="R30">
        <v>172.3</v>
      </c>
      <c r="S30">
        <v>193</v>
      </c>
      <c r="T30">
        <v>177</v>
      </c>
      <c r="U30">
        <v>199.5</v>
      </c>
      <c r="V30">
        <v>186.1</v>
      </c>
      <c r="W30">
        <v>178.7</v>
      </c>
      <c r="X30">
        <v>185.1</v>
      </c>
      <c r="Y30">
        <v>173.5</v>
      </c>
      <c r="Z30">
        <v>181.9</v>
      </c>
      <c r="AA30">
        <v>174.2</v>
      </c>
      <c r="AB30">
        <v>184.4</v>
      </c>
      <c r="AC30">
        <v>164.2</v>
      </c>
      <c r="AD30">
        <v>170.3</v>
      </c>
      <c r="AE30">
        <v>175</v>
      </c>
      <c r="AF30">
        <v>181</v>
      </c>
      <c r="AG30">
        <v>174.1</v>
      </c>
      <c r="AH30">
        <v>177.2</v>
      </c>
      <c r="AJ30" s="49" t="s">
        <v>28</v>
      </c>
      <c r="AK30" s="50">
        <f>CORREL($B$4:$B$32,Table27[Miscellaneous])</f>
        <v>0.67668620137972357</v>
      </c>
    </row>
    <row r="31" spans="1:37" x14ac:dyDescent="0.35">
      <c r="A31" s="46">
        <v>45017</v>
      </c>
      <c r="B31" s="45">
        <v>89035.978544082594</v>
      </c>
      <c r="E31" t="s">
        <v>34</v>
      </c>
      <c r="F31">
        <v>2023</v>
      </c>
      <c r="G31" t="s">
        <v>37</v>
      </c>
      <c r="H31">
        <v>173.8</v>
      </c>
      <c r="I31">
        <v>209.3</v>
      </c>
      <c r="J31">
        <v>169.6</v>
      </c>
      <c r="K31">
        <v>178.4</v>
      </c>
      <c r="L31">
        <v>174.9</v>
      </c>
      <c r="M31">
        <v>176.3</v>
      </c>
      <c r="N31">
        <v>155.4</v>
      </c>
      <c r="O31">
        <v>173.4</v>
      </c>
      <c r="P31">
        <v>121.3</v>
      </c>
      <c r="Q31">
        <v>212.9</v>
      </c>
      <c r="R31">
        <v>172.9</v>
      </c>
      <c r="S31">
        <v>193.5</v>
      </c>
      <c r="T31">
        <v>177.9</v>
      </c>
      <c r="U31">
        <v>200.6</v>
      </c>
      <c r="V31">
        <v>186.9</v>
      </c>
      <c r="W31">
        <v>179.2</v>
      </c>
      <c r="X31">
        <v>185.7</v>
      </c>
      <c r="Y31">
        <v>175.2</v>
      </c>
      <c r="Z31">
        <v>181.7</v>
      </c>
      <c r="AA31">
        <v>174.6</v>
      </c>
      <c r="AB31">
        <v>185</v>
      </c>
      <c r="AC31">
        <v>164.5</v>
      </c>
      <c r="AD31">
        <v>170.7</v>
      </c>
      <c r="AE31">
        <v>176.4</v>
      </c>
      <c r="AF31">
        <v>184</v>
      </c>
      <c r="AG31">
        <v>175</v>
      </c>
      <c r="AH31">
        <v>178.1</v>
      </c>
      <c r="AK31" s="48"/>
    </row>
    <row r="32" spans="1:37" x14ac:dyDescent="0.35">
      <c r="A32" s="47">
        <v>45047</v>
      </c>
      <c r="B32" s="35">
        <v>87955.310700035101</v>
      </c>
      <c r="E32" t="s">
        <v>34</v>
      </c>
      <c r="F32">
        <v>2023</v>
      </c>
      <c r="G32" t="s">
        <v>38</v>
      </c>
      <c r="H32">
        <v>173.7</v>
      </c>
      <c r="I32">
        <v>214.3</v>
      </c>
      <c r="J32">
        <v>173.2</v>
      </c>
      <c r="K32">
        <v>179.5</v>
      </c>
      <c r="L32">
        <v>170</v>
      </c>
      <c r="M32">
        <v>172.2</v>
      </c>
      <c r="N32">
        <v>161</v>
      </c>
      <c r="O32">
        <v>175.6</v>
      </c>
      <c r="P32">
        <v>122.7</v>
      </c>
      <c r="Q32">
        <v>218</v>
      </c>
      <c r="R32">
        <v>173.4</v>
      </c>
      <c r="S32">
        <v>194.2</v>
      </c>
      <c r="T32">
        <v>179.1</v>
      </c>
      <c r="U32">
        <v>201</v>
      </c>
      <c r="V32">
        <v>187.3</v>
      </c>
      <c r="W32">
        <v>179.7</v>
      </c>
      <c r="X32">
        <v>186.2</v>
      </c>
      <c r="Y32">
        <v>175.6</v>
      </c>
      <c r="Z32">
        <v>182.8</v>
      </c>
      <c r="AA32">
        <v>175.2</v>
      </c>
      <c r="AB32">
        <v>185.7</v>
      </c>
      <c r="AC32">
        <v>164.8</v>
      </c>
      <c r="AD32">
        <v>171.2</v>
      </c>
      <c r="AE32">
        <v>177.1</v>
      </c>
      <c r="AF32">
        <v>185.2</v>
      </c>
      <c r="AG32">
        <v>175.7</v>
      </c>
      <c r="AH32">
        <v>179.1</v>
      </c>
    </row>
    <row r="33" spans="1:37" x14ac:dyDescent="0.35">
      <c r="H33">
        <f>CORREL($B$4:$B$32,Table27[Cereals and products])</f>
        <v>0.444046676754211</v>
      </c>
      <c r="I33">
        <f>CORREL($B$4:$B$32,Table27[Meat and fish])</f>
        <v>0.80115619666701809</v>
      </c>
      <c r="J33">
        <f>CORREL($B$4:$B$32,Table27[Egg])</f>
        <v>-9.2561993532854825E-2</v>
      </c>
      <c r="K33">
        <f>CORREL($B$4:$B$32,Table27[Milk and products])</f>
        <v>0.53129542494395465</v>
      </c>
      <c r="L33">
        <f>CORREL($B$4:$B$32,Table27[Oils and fats])</f>
        <v>0.74315929078527754</v>
      </c>
      <c r="M33">
        <f>CORREL($B$4:$B$32,Table27[Fruits])</f>
        <v>0.55796244846152432</v>
      </c>
      <c r="N33">
        <f>CORREL($B$4:$B$32,Table27[Vegetables])</f>
        <v>0.31781417003511586</v>
      </c>
      <c r="O33">
        <f>CORREL($B$4:$B$32,Table27[Pulses and products])</f>
        <v>0.33001936012574623</v>
      </c>
      <c r="P33">
        <f>CORREL($B$4:$B$32,Table27[Sugar and Confectionery])</f>
        <v>0.5940898684687248</v>
      </c>
      <c r="Q33">
        <f>CORREL($B$4:$B$32,Table27[Spices])</f>
        <v>0.52006938849899864</v>
      </c>
      <c r="R33">
        <f>CORREL($B$4:$B$32,Table27[Non-alcoholic beverages])</f>
        <v>0.67465887652180412</v>
      </c>
      <c r="S33">
        <f>CORREL($B$4:$B$32,Table27[Prepared meals, snacks, sweets etc.])</f>
        <v>0.6383864772339537</v>
      </c>
      <c r="T33">
        <f>CORREL($B$4:$B$32,Table27[Food and beverages])</f>
        <v>0.71154478055470316</v>
      </c>
      <c r="U33">
        <f>CORREL($B$4:$B$32,Table27[Pan, tobacco and intoxicants])</f>
        <v>0.53336580681006995</v>
      </c>
      <c r="V33">
        <f>CORREL($B$4:$B$32,Table27[Clothing])</f>
        <v>0.67076047270877459</v>
      </c>
      <c r="W33">
        <f>CORREL($B$4:$B$32,Table27[Footwear])</f>
        <v>0.69639639494222561</v>
      </c>
      <c r="X33">
        <f>CORREL($B$4:$B$32,Table27[Clothing and footwear])</f>
        <v>0.67506838615451836</v>
      </c>
      <c r="Y33">
        <f>CORREL($B$4:$B$32,Table27[Housing])</f>
        <v>0.58648079304588541</v>
      </c>
      <c r="Z33">
        <f>CORREL($B$4:$B$32,Table27[Fuel and light])</f>
        <v>0.71397817777902972</v>
      </c>
      <c r="AA33">
        <f>CORREL($B$4:$B$32,Table27[Household goods and services])</f>
        <v>0.6563629863434387</v>
      </c>
      <c r="AB33">
        <f>CORREL($B$4:$B$32,Table27[Health])</f>
        <v>0.61921566416500318</v>
      </c>
      <c r="AC33">
        <f>CORREL($B$4:$B$32,Table27[Transport and communication])</f>
        <v>0.77547015609515013</v>
      </c>
      <c r="AD33">
        <f>CORREL($B$4:$B$32,Table27[Recreation and amusement])</f>
        <v>0.72565118597162137</v>
      </c>
      <c r="AE33">
        <f>CORREL($B$4:$B$32,Table27[Education])</f>
        <v>0.60140630888501889</v>
      </c>
      <c r="AF33">
        <f>CORREL($B$4:$B$32,Table27[Personal care and effects])</f>
        <v>0.5635171260722901</v>
      </c>
      <c r="AG33">
        <f>CORREL($B$4:$B$32,Table27[Miscellaneous])</f>
        <v>0.67668620137972357</v>
      </c>
      <c r="AH33">
        <f>CORREL($B$4:$B$32,Table27[General index])</f>
        <v>0.69734169548759206</v>
      </c>
    </row>
    <row r="37" spans="1:37" x14ac:dyDescent="0.35">
      <c r="A37" s="52" t="s">
        <v>136</v>
      </c>
      <c r="B37" s="52"/>
    </row>
    <row r="38" spans="1:37" x14ac:dyDescent="0.35">
      <c r="A38" s="42" t="s">
        <v>137</v>
      </c>
      <c r="B38" s="43" t="s">
        <v>135</v>
      </c>
      <c r="E38" s="22" t="s">
        <v>0</v>
      </c>
      <c r="F38" s="22" t="s">
        <v>1</v>
      </c>
      <c r="G38" s="22" t="s">
        <v>2</v>
      </c>
      <c r="H38" s="5" t="s">
        <v>3</v>
      </c>
      <c r="I38" s="5" t="s">
        <v>4</v>
      </c>
      <c r="J38" s="5" t="s">
        <v>5</v>
      </c>
      <c r="K38" s="5" t="s">
        <v>6</v>
      </c>
      <c r="L38" s="5" t="s">
        <v>7</v>
      </c>
      <c r="M38" s="5" t="s">
        <v>8</v>
      </c>
      <c r="N38" s="5" t="s">
        <v>9</v>
      </c>
      <c r="O38" s="5" t="s">
        <v>10</v>
      </c>
      <c r="P38" s="5" t="s">
        <v>11</v>
      </c>
      <c r="Q38" s="5" t="s">
        <v>12</v>
      </c>
      <c r="R38" s="5" t="s">
        <v>13</v>
      </c>
      <c r="S38" s="5" t="s">
        <v>14</v>
      </c>
      <c r="T38" s="5" t="s">
        <v>15</v>
      </c>
      <c r="U38" s="5" t="s">
        <v>16</v>
      </c>
      <c r="V38" s="5" t="s">
        <v>17</v>
      </c>
      <c r="W38" s="5" t="s">
        <v>18</v>
      </c>
      <c r="X38" s="5" t="s">
        <v>19</v>
      </c>
      <c r="Y38" s="5" t="s">
        <v>20</v>
      </c>
      <c r="Z38" s="5" t="s">
        <v>21</v>
      </c>
      <c r="AA38" s="5" t="s">
        <v>22</v>
      </c>
      <c r="AB38" s="5" t="s">
        <v>23</v>
      </c>
      <c r="AC38" s="5" t="s">
        <v>24</v>
      </c>
      <c r="AD38" s="5" t="s">
        <v>25</v>
      </c>
      <c r="AE38" s="5" t="s">
        <v>26</v>
      </c>
      <c r="AF38" s="5" t="s">
        <v>27</v>
      </c>
      <c r="AG38" s="5" t="s">
        <v>28</v>
      </c>
      <c r="AH38" s="5" t="s">
        <v>29</v>
      </c>
      <c r="AJ38" s="62" t="s">
        <v>139</v>
      </c>
      <c r="AK38" s="62"/>
    </row>
    <row r="39" spans="1:37" x14ac:dyDescent="0.35">
      <c r="A39" s="44">
        <v>44197</v>
      </c>
      <c r="B39" s="45">
        <v>55990.924602459359</v>
      </c>
      <c r="E39" t="s">
        <v>30</v>
      </c>
      <c r="F39">
        <v>2021</v>
      </c>
      <c r="G39" t="s">
        <v>31</v>
      </c>
      <c r="H39">
        <v>143.4</v>
      </c>
      <c r="I39">
        <v>187.5</v>
      </c>
      <c r="J39">
        <v>173.4</v>
      </c>
      <c r="K39">
        <v>154</v>
      </c>
      <c r="L39">
        <v>154.80000000000001</v>
      </c>
      <c r="M39">
        <v>147</v>
      </c>
      <c r="N39">
        <v>187.8</v>
      </c>
      <c r="O39">
        <v>159.5</v>
      </c>
      <c r="P39">
        <v>113.8</v>
      </c>
      <c r="Q39">
        <v>164.5</v>
      </c>
      <c r="R39">
        <v>156.1</v>
      </c>
      <c r="S39">
        <v>164.3</v>
      </c>
      <c r="T39">
        <v>159.6</v>
      </c>
      <c r="U39">
        <v>184.6</v>
      </c>
      <c r="V39">
        <v>157.5</v>
      </c>
      <c r="W39">
        <v>152.4</v>
      </c>
      <c r="X39">
        <v>156.80000000000001</v>
      </c>
      <c r="Y39">
        <v>157.69999999999999</v>
      </c>
      <c r="Z39">
        <v>150.9</v>
      </c>
      <c r="AA39">
        <v>153.9</v>
      </c>
      <c r="AB39">
        <v>162.5</v>
      </c>
      <c r="AC39">
        <v>147.5</v>
      </c>
      <c r="AD39">
        <v>155.1</v>
      </c>
      <c r="AE39">
        <v>163.5</v>
      </c>
      <c r="AF39">
        <v>156.19999999999999</v>
      </c>
      <c r="AG39">
        <v>155.9</v>
      </c>
      <c r="AH39">
        <v>158.5</v>
      </c>
      <c r="AJ39" s="62"/>
      <c r="AK39" s="62"/>
    </row>
    <row r="40" spans="1:37" x14ac:dyDescent="0.35">
      <c r="A40" s="46">
        <v>44228</v>
      </c>
      <c r="B40" s="45">
        <v>48033.558892131798</v>
      </c>
      <c r="E40" t="s">
        <v>30</v>
      </c>
      <c r="F40">
        <v>2021</v>
      </c>
      <c r="G40" t="s">
        <v>35</v>
      </c>
      <c r="H40">
        <v>142.80000000000001</v>
      </c>
      <c r="I40">
        <v>184</v>
      </c>
      <c r="J40">
        <v>168</v>
      </c>
      <c r="K40">
        <v>154.4</v>
      </c>
      <c r="L40">
        <v>163</v>
      </c>
      <c r="M40">
        <v>147.80000000000001</v>
      </c>
      <c r="N40">
        <v>149.69999999999999</v>
      </c>
      <c r="O40">
        <v>158.30000000000001</v>
      </c>
      <c r="P40">
        <v>111.8</v>
      </c>
      <c r="Q40">
        <v>165</v>
      </c>
      <c r="R40">
        <v>160</v>
      </c>
      <c r="S40">
        <v>165.8</v>
      </c>
      <c r="T40">
        <v>154.69999999999999</v>
      </c>
      <c r="U40">
        <v>186.5</v>
      </c>
      <c r="V40">
        <v>159.1</v>
      </c>
      <c r="W40">
        <v>153.9</v>
      </c>
      <c r="X40">
        <v>158.4</v>
      </c>
      <c r="Y40">
        <v>159.80000000000001</v>
      </c>
      <c r="Z40">
        <v>154.4</v>
      </c>
      <c r="AA40">
        <v>154.80000000000001</v>
      </c>
      <c r="AB40">
        <v>164.3</v>
      </c>
      <c r="AC40">
        <v>150.19999999999999</v>
      </c>
      <c r="AD40">
        <v>157</v>
      </c>
      <c r="AE40">
        <v>163.6</v>
      </c>
      <c r="AF40">
        <v>155.19999999999999</v>
      </c>
      <c r="AG40">
        <v>157.19999999999999</v>
      </c>
      <c r="AH40">
        <v>156.69999999999999</v>
      </c>
      <c r="AJ40" s="49" t="s">
        <v>3</v>
      </c>
      <c r="AK40" s="50">
        <f>CORREL($B$4:$B$32,Table2730[Cereals and products])</f>
        <v>0.44083035075183313</v>
      </c>
    </row>
    <row r="41" spans="1:37" x14ac:dyDescent="0.35">
      <c r="A41" s="44">
        <v>44256</v>
      </c>
      <c r="B41" s="45">
        <v>61518.692284107237</v>
      </c>
      <c r="E41" t="s">
        <v>30</v>
      </c>
      <c r="F41">
        <v>2021</v>
      </c>
      <c r="G41" t="s">
        <v>36</v>
      </c>
      <c r="H41">
        <v>142.5</v>
      </c>
      <c r="I41">
        <v>189.4</v>
      </c>
      <c r="J41">
        <v>163.19999999999999</v>
      </c>
      <c r="K41">
        <v>154.5</v>
      </c>
      <c r="L41">
        <v>168.2</v>
      </c>
      <c r="M41">
        <v>150.5</v>
      </c>
      <c r="N41">
        <v>141</v>
      </c>
      <c r="O41">
        <v>159.19999999999999</v>
      </c>
      <c r="P41">
        <v>111.7</v>
      </c>
      <c r="Q41">
        <v>164</v>
      </c>
      <c r="R41">
        <v>160.6</v>
      </c>
      <c r="S41">
        <v>166.4</v>
      </c>
      <c r="T41">
        <v>154.5</v>
      </c>
      <c r="U41">
        <v>186.1</v>
      </c>
      <c r="V41">
        <v>159.6</v>
      </c>
      <c r="W41">
        <v>154.4</v>
      </c>
      <c r="X41">
        <v>158.9</v>
      </c>
      <c r="Y41">
        <v>159.9</v>
      </c>
      <c r="Z41">
        <v>156</v>
      </c>
      <c r="AA41">
        <v>154.80000000000001</v>
      </c>
      <c r="AB41">
        <v>164.6</v>
      </c>
      <c r="AC41">
        <v>151.30000000000001</v>
      </c>
      <c r="AD41">
        <v>157.80000000000001</v>
      </c>
      <c r="AE41">
        <v>163.80000000000001</v>
      </c>
      <c r="AF41">
        <v>153.1</v>
      </c>
      <c r="AG41">
        <v>157.30000000000001</v>
      </c>
      <c r="AH41">
        <v>156.69999999999999</v>
      </c>
      <c r="AJ41" s="49" t="s">
        <v>4</v>
      </c>
      <c r="AK41" s="50">
        <f>CORREL($B$4:$B$32,Table2730[Meat and fish])</f>
        <v>0.79884482982723004</v>
      </c>
    </row>
    <row r="42" spans="1:37" x14ac:dyDescent="0.35">
      <c r="A42" s="46">
        <v>44287</v>
      </c>
      <c r="B42" s="45">
        <v>63309.498622749867</v>
      </c>
      <c r="E42" t="s">
        <v>30</v>
      </c>
      <c r="F42">
        <v>2021</v>
      </c>
      <c r="G42" t="s">
        <v>37</v>
      </c>
      <c r="H42">
        <v>142.69999999999999</v>
      </c>
      <c r="I42">
        <v>195.5</v>
      </c>
      <c r="J42">
        <v>163.4</v>
      </c>
      <c r="K42">
        <v>155</v>
      </c>
      <c r="L42">
        <v>175.2</v>
      </c>
      <c r="M42">
        <v>160.6</v>
      </c>
      <c r="N42">
        <v>135.1</v>
      </c>
      <c r="O42">
        <v>161.1</v>
      </c>
      <c r="P42">
        <v>112.2</v>
      </c>
      <c r="Q42">
        <v>164.4</v>
      </c>
      <c r="R42">
        <v>161.9</v>
      </c>
      <c r="S42">
        <v>166.8</v>
      </c>
      <c r="T42">
        <v>155.6</v>
      </c>
      <c r="U42">
        <v>186.8</v>
      </c>
      <c r="V42">
        <v>160.69999999999999</v>
      </c>
      <c r="W42">
        <v>155.1</v>
      </c>
      <c r="X42">
        <v>159.9</v>
      </c>
      <c r="Y42">
        <v>161.4</v>
      </c>
      <c r="Z42">
        <v>156</v>
      </c>
      <c r="AA42">
        <v>155.5</v>
      </c>
      <c r="AB42">
        <v>165.3</v>
      </c>
      <c r="AC42">
        <v>151.69999999999999</v>
      </c>
      <c r="AD42">
        <v>158.6</v>
      </c>
      <c r="AE42">
        <v>164.1</v>
      </c>
      <c r="AF42">
        <v>154.6</v>
      </c>
      <c r="AG42">
        <v>158</v>
      </c>
      <c r="AH42">
        <v>157.6</v>
      </c>
      <c r="AJ42" s="49" t="s">
        <v>5</v>
      </c>
      <c r="AK42" s="50">
        <f>CORREL($B$4:$B$32,Table2730[Egg])</f>
        <v>-8.5227829696874591E-2</v>
      </c>
    </row>
    <row r="43" spans="1:37" x14ac:dyDescent="0.35">
      <c r="A43" s="44">
        <v>44317</v>
      </c>
      <c r="B43" s="45">
        <v>60800.383481587211</v>
      </c>
      <c r="E43" t="s">
        <v>30</v>
      </c>
      <c r="F43">
        <v>2021</v>
      </c>
      <c r="G43" t="s">
        <v>38</v>
      </c>
      <c r="H43">
        <v>145.1</v>
      </c>
      <c r="I43">
        <v>198.5</v>
      </c>
      <c r="J43">
        <v>168.6</v>
      </c>
      <c r="K43">
        <v>155.80000000000001</v>
      </c>
      <c r="L43">
        <v>184.4</v>
      </c>
      <c r="M43">
        <v>162.30000000000001</v>
      </c>
      <c r="N43">
        <v>138.4</v>
      </c>
      <c r="O43">
        <v>165.1</v>
      </c>
      <c r="P43">
        <v>114.3</v>
      </c>
      <c r="Q43">
        <v>169.7</v>
      </c>
      <c r="R43">
        <v>164.6</v>
      </c>
      <c r="S43">
        <v>169.8</v>
      </c>
      <c r="T43">
        <v>158.69999999999999</v>
      </c>
      <c r="U43">
        <v>189.6</v>
      </c>
      <c r="V43">
        <v>165.3</v>
      </c>
      <c r="W43">
        <v>160.6</v>
      </c>
      <c r="X43">
        <v>164.5</v>
      </c>
      <c r="Y43">
        <v>161.6</v>
      </c>
      <c r="Z43">
        <v>161.69999999999999</v>
      </c>
      <c r="AA43">
        <v>158.80000000000001</v>
      </c>
      <c r="AB43">
        <v>169.1</v>
      </c>
      <c r="AC43">
        <v>153.19999999999999</v>
      </c>
      <c r="AD43">
        <v>160</v>
      </c>
      <c r="AE43">
        <v>167.6</v>
      </c>
      <c r="AF43">
        <v>159.30000000000001</v>
      </c>
      <c r="AG43">
        <v>161.1</v>
      </c>
      <c r="AH43">
        <v>161.1</v>
      </c>
      <c r="AJ43" s="49" t="s">
        <v>6</v>
      </c>
      <c r="AK43" s="50">
        <f>CORREL($B$4:$B$32,Table2730[Milk and products])</f>
        <v>0.53315611883300407</v>
      </c>
    </row>
    <row r="44" spans="1:37" x14ac:dyDescent="0.35">
      <c r="A44" s="46">
        <v>44348</v>
      </c>
      <c r="B44" s="45">
        <v>61073.298999169296</v>
      </c>
      <c r="E44" t="s">
        <v>30</v>
      </c>
      <c r="F44">
        <v>2021</v>
      </c>
      <c r="G44" t="s">
        <v>39</v>
      </c>
      <c r="H44">
        <v>145.6</v>
      </c>
      <c r="I44">
        <v>200.1</v>
      </c>
      <c r="J44">
        <v>179.3</v>
      </c>
      <c r="K44">
        <v>156.1</v>
      </c>
      <c r="L44">
        <v>190.4</v>
      </c>
      <c r="M44">
        <v>158.6</v>
      </c>
      <c r="N44">
        <v>144.69999999999999</v>
      </c>
      <c r="O44">
        <v>165.5</v>
      </c>
      <c r="P44">
        <v>114.6</v>
      </c>
      <c r="Q44">
        <v>170</v>
      </c>
      <c r="R44">
        <v>165.5</v>
      </c>
      <c r="S44">
        <v>171.7</v>
      </c>
      <c r="T44">
        <v>160.5</v>
      </c>
      <c r="U44">
        <v>189.1</v>
      </c>
      <c r="V44">
        <v>165.3</v>
      </c>
      <c r="W44">
        <v>159.9</v>
      </c>
      <c r="X44">
        <v>164.6</v>
      </c>
      <c r="Y44">
        <v>160.5</v>
      </c>
      <c r="Z44">
        <v>162.1</v>
      </c>
      <c r="AA44">
        <v>159.19999999999999</v>
      </c>
      <c r="AB44">
        <v>169.7</v>
      </c>
      <c r="AC44">
        <v>154.19999999999999</v>
      </c>
      <c r="AD44">
        <v>160.4</v>
      </c>
      <c r="AE44">
        <v>166.8</v>
      </c>
      <c r="AF44">
        <v>159.4</v>
      </c>
      <c r="AG44">
        <v>161.5</v>
      </c>
      <c r="AH44">
        <v>162.1</v>
      </c>
      <c r="AJ44" s="49" t="s">
        <v>7</v>
      </c>
      <c r="AK44" s="50">
        <f>CORREL($B$4:$B$32,Table2730[Oils and fats])</f>
        <v>0.72034593492945742</v>
      </c>
    </row>
    <row r="45" spans="1:37" x14ac:dyDescent="0.35">
      <c r="A45" s="44">
        <v>44378</v>
      </c>
      <c r="B45" s="45">
        <v>59460.950438057756</v>
      </c>
      <c r="E45" t="s">
        <v>30</v>
      </c>
      <c r="F45">
        <v>2021</v>
      </c>
      <c r="G45" t="s">
        <v>40</v>
      </c>
      <c r="H45">
        <v>145.1</v>
      </c>
      <c r="I45">
        <v>204.5</v>
      </c>
      <c r="J45">
        <v>180.4</v>
      </c>
      <c r="K45">
        <v>157.1</v>
      </c>
      <c r="L45">
        <v>188.7</v>
      </c>
      <c r="M45">
        <v>157.69999999999999</v>
      </c>
      <c r="N45">
        <v>152.80000000000001</v>
      </c>
      <c r="O45">
        <v>163.6</v>
      </c>
      <c r="P45">
        <v>113.9</v>
      </c>
      <c r="Q45">
        <v>169.7</v>
      </c>
      <c r="R45">
        <v>166.2</v>
      </c>
      <c r="S45">
        <v>171</v>
      </c>
      <c r="T45">
        <v>161.69999999999999</v>
      </c>
      <c r="U45">
        <v>189.7</v>
      </c>
      <c r="V45">
        <v>166</v>
      </c>
      <c r="W45">
        <v>161.1</v>
      </c>
      <c r="X45">
        <v>165.3</v>
      </c>
      <c r="Y45">
        <v>161.5</v>
      </c>
      <c r="Z45">
        <v>162.5</v>
      </c>
      <c r="AA45">
        <v>160.30000000000001</v>
      </c>
      <c r="AB45">
        <v>170.4</v>
      </c>
      <c r="AC45">
        <v>157.1</v>
      </c>
      <c r="AD45">
        <v>160.69999999999999</v>
      </c>
      <c r="AE45">
        <v>167.2</v>
      </c>
      <c r="AF45">
        <v>160.4</v>
      </c>
      <c r="AG45">
        <v>162.80000000000001</v>
      </c>
      <c r="AH45">
        <v>163.19999999999999</v>
      </c>
      <c r="AJ45" s="49" t="s">
        <v>8</v>
      </c>
      <c r="AK45" s="50">
        <f>CORREL($B$4:$B$32,Table2730[Fruits])</f>
        <v>0.61651579122352285</v>
      </c>
    </row>
    <row r="46" spans="1:37" x14ac:dyDescent="0.35">
      <c r="A46" s="46">
        <v>44409</v>
      </c>
      <c r="B46" s="45">
        <v>67310.659830633638</v>
      </c>
      <c r="E46" t="s">
        <v>30</v>
      </c>
      <c r="F46">
        <v>2021</v>
      </c>
      <c r="G46" t="s">
        <v>41</v>
      </c>
      <c r="H46">
        <v>144.9</v>
      </c>
      <c r="I46">
        <v>202.3</v>
      </c>
      <c r="J46">
        <v>176.5</v>
      </c>
      <c r="K46">
        <v>157.5</v>
      </c>
      <c r="L46">
        <v>190.9</v>
      </c>
      <c r="M46">
        <v>155.69999999999999</v>
      </c>
      <c r="N46">
        <v>153.9</v>
      </c>
      <c r="O46">
        <v>162.80000000000001</v>
      </c>
      <c r="P46">
        <v>115.2</v>
      </c>
      <c r="Q46">
        <v>169.8</v>
      </c>
      <c r="R46">
        <v>167.6</v>
      </c>
      <c r="S46">
        <v>171.9</v>
      </c>
      <c r="T46">
        <v>161.80000000000001</v>
      </c>
      <c r="U46">
        <v>190.2</v>
      </c>
      <c r="V46">
        <v>167</v>
      </c>
      <c r="W46">
        <v>162.6</v>
      </c>
      <c r="X46">
        <v>166.3</v>
      </c>
      <c r="Y46">
        <v>162.1</v>
      </c>
      <c r="Z46">
        <v>163.1</v>
      </c>
      <c r="AA46">
        <v>160.9</v>
      </c>
      <c r="AB46">
        <v>171.1</v>
      </c>
      <c r="AC46">
        <v>157.69999999999999</v>
      </c>
      <c r="AD46">
        <v>161.1</v>
      </c>
      <c r="AE46">
        <v>167.5</v>
      </c>
      <c r="AF46">
        <v>160.30000000000001</v>
      </c>
      <c r="AG46">
        <v>163.30000000000001</v>
      </c>
      <c r="AH46">
        <v>163.6</v>
      </c>
      <c r="AJ46" s="49" t="s">
        <v>9</v>
      </c>
      <c r="AK46" s="50">
        <f>CORREL($B$4:$B$32,Table2730[Vegetables])</f>
        <v>0.25670757016681151</v>
      </c>
    </row>
    <row r="47" spans="1:37" x14ac:dyDescent="0.35">
      <c r="A47" s="44">
        <v>44440</v>
      </c>
      <c r="B47" s="45">
        <v>69109.876194440018</v>
      </c>
      <c r="E47" t="s">
        <v>30</v>
      </c>
      <c r="F47">
        <v>2021</v>
      </c>
      <c r="G47" t="s">
        <v>42</v>
      </c>
      <c r="H47">
        <v>145.4</v>
      </c>
      <c r="I47">
        <v>202.1</v>
      </c>
      <c r="J47">
        <v>172</v>
      </c>
      <c r="K47">
        <v>158</v>
      </c>
      <c r="L47">
        <v>195.5</v>
      </c>
      <c r="M47">
        <v>152.69999999999999</v>
      </c>
      <c r="N47">
        <v>151.4</v>
      </c>
      <c r="O47">
        <v>163.9</v>
      </c>
      <c r="P47">
        <v>119.3</v>
      </c>
      <c r="Q47">
        <v>170.1</v>
      </c>
      <c r="R47">
        <v>168.3</v>
      </c>
      <c r="S47">
        <v>172.8</v>
      </c>
      <c r="T47">
        <v>162.1</v>
      </c>
      <c r="U47">
        <v>190.5</v>
      </c>
      <c r="V47">
        <v>167.7</v>
      </c>
      <c r="W47">
        <v>163.6</v>
      </c>
      <c r="X47">
        <v>167.1</v>
      </c>
      <c r="Y47">
        <v>162.1</v>
      </c>
      <c r="Z47">
        <v>163.69999999999999</v>
      </c>
      <c r="AA47">
        <v>161.30000000000001</v>
      </c>
      <c r="AB47">
        <v>171.9</v>
      </c>
      <c r="AC47">
        <v>157.80000000000001</v>
      </c>
      <c r="AD47">
        <v>162.69999999999999</v>
      </c>
      <c r="AE47">
        <v>168.5</v>
      </c>
      <c r="AF47">
        <v>160.19999999999999</v>
      </c>
      <c r="AG47">
        <v>163.80000000000001</v>
      </c>
      <c r="AH47">
        <v>164</v>
      </c>
      <c r="AJ47" s="49" t="s">
        <v>10</v>
      </c>
      <c r="AK47" s="50">
        <f>CORREL($B$4:$B$32,Table2730[Pulses and products])</f>
        <v>0.39758028219576552</v>
      </c>
    </row>
    <row r="48" spans="1:37" x14ac:dyDescent="0.35">
      <c r="A48" s="46">
        <v>44470</v>
      </c>
      <c r="B48" s="45">
        <v>72054.19693085934</v>
      </c>
      <c r="E48" t="s">
        <v>30</v>
      </c>
      <c r="F48">
        <v>2021</v>
      </c>
      <c r="G48" t="s">
        <v>43</v>
      </c>
      <c r="H48">
        <v>146.1</v>
      </c>
      <c r="I48">
        <v>202.5</v>
      </c>
      <c r="J48">
        <v>170.1</v>
      </c>
      <c r="K48">
        <v>158.4</v>
      </c>
      <c r="L48">
        <v>198.8</v>
      </c>
      <c r="M48">
        <v>152.6</v>
      </c>
      <c r="N48">
        <v>170.4</v>
      </c>
      <c r="O48">
        <v>165.2</v>
      </c>
      <c r="P48">
        <v>121.6</v>
      </c>
      <c r="Q48">
        <v>170.6</v>
      </c>
      <c r="R48">
        <v>168.8</v>
      </c>
      <c r="S48">
        <v>173.6</v>
      </c>
      <c r="T48">
        <v>165.5</v>
      </c>
      <c r="U48">
        <v>191.2</v>
      </c>
      <c r="V48">
        <v>168.9</v>
      </c>
      <c r="W48">
        <v>164.8</v>
      </c>
      <c r="X48">
        <v>168.3</v>
      </c>
      <c r="Y48">
        <v>163.6</v>
      </c>
      <c r="Z48">
        <v>165.5</v>
      </c>
      <c r="AA48">
        <v>162</v>
      </c>
      <c r="AB48">
        <v>172.5</v>
      </c>
      <c r="AC48">
        <v>159.5</v>
      </c>
      <c r="AD48">
        <v>163.19999999999999</v>
      </c>
      <c r="AE48">
        <v>169</v>
      </c>
      <c r="AF48">
        <v>161.1</v>
      </c>
      <c r="AG48">
        <v>164.7</v>
      </c>
      <c r="AH48">
        <v>166.3</v>
      </c>
      <c r="AJ48" s="49" t="s">
        <v>11</v>
      </c>
      <c r="AK48" s="50">
        <f>CORREL($B$4:$B$32,Table2730[Sugar and Confectionery])</f>
        <v>0.60017783315626794</v>
      </c>
    </row>
    <row r="49" spans="1:37" x14ac:dyDescent="0.35">
      <c r="A49" s="44">
        <v>44501</v>
      </c>
      <c r="B49" s="45">
        <v>79009.388695268004</v>
      </c>
      <c r="E49" t="s">
        <v>30</v>
      </c>
      <c r="F49">
        <v>2021</v>
      </c>
      <c r="G49" t="s">
        <v>45</v>
      </c>
      <c r="H49">
        <v>146.9</v>
      </c>
      <c r="I49">
        <v>199.8</v>
      </c>
      <c r="J49">
        <v>171.5</v>
      </c>
      <c r="K49">
        <v>159.1</v>
      </c>
      <c r="L49">
        <v>198.4</v>
      </c>
      <c r="M49">
        <v>153.19999999999999</v>
      </c>
      <c r="N49">
        <v>183.9</v>
      </c>
      <c r="O49">
        <v>165.4</v>
      </c>
      <c r="P49">
        <v>122.1</v>
      </c>
      <c r="Q49">
        <v>170.8</v>
      </c>
      <c r="R49">
        <v>169.1</v>
      </c>
      <c r="S49">
        <v>174.3</v>
      </c>
      <c r="T49">
        <v>167.5</v>
      </c>
      <c r="U49">
        <v>191.4</v>
      </c>
      <c r="V49">
        <v>170.4</v>
      </c>
      <c r="W49">
        <v>166</v>
      </c>
      <c r="X49">
        <v>169.8</v>
      </c>
      <c r="Y49">
        <v>164.2</v>
      </c>
      <c r="Z49">
        <v>165.3</v>
      </c>
      <c r="AA49">
        <v>162.9</v>
      </c>
      <c r="AB49">
        <v>173.4</v>
      </c>
      <c r="AC49">
        <v>158.9</v>
      </c>
      <c r="AD49">
        <v>163.80000000000001</v>
      </c>
      <c r="AE49">
        <v>169.3</v>
      </c>
      <c r="AF49">
        <v>162.4</v>
      </c>
      <c r="AG49">
        <v>165.2</v>
      </c>
      <c r="AH49">
        <v>167.6</v>
      </c>
      <c r="AJ49" s="49" t="s">
        <v>12</v>
      </c>
      <c r="AK49" s="50">
        <f>CORREL($B$4:$B$32,Table2730[Spices])</f>
        <v>0.5204315934494792</v>
      </c>
    </row>
    <row r="50" spans="1:37" x14ac:dyDescent="0.35">
      <c r="A50" s="46">
        <v>44531</v>
      </c>
      <c r="B50" s="45">
        <v>81771.141778992853</v>
      </c>
      <c r="E50" t="s">
        <v>30</v>
      </c>
      <c r="F50">
        <v>2021</v>
      </c>
      <c r="G50" t="s">
        <v>46</v>
      </c>
      <c r="H50">
        <v>147.4</v>
      </c>
      <c r="I50">
        <v>197</v>
      </c>
      <c r="J50">
        <v>176.5</v>
      </c>
      <c r="K50">
        <v>159.80000000000001</v>
      </c>
      <c r="L50">
        <v>195.8</v>
      </c>
      <c r="M50">
        <v>152</v>
      </c>
      <c r="N50">
        <v>172.3</v>
      </c>
      <c r="O50">
        <v>164.5</v>
      </c>
      <c r="P50">
        <v>120.6</v>
      </c>
      <c r="Q50">
        <v>171.7</v>
      </c>
      <c r="R50">
        <v>169.7</v>
      </c>
      <c r="S50">
        <v>175.1</v>
      </c>
      <c r="T50">
        <v>165.8</v>
      </c>
      <c r="U50">
        <v>190.8</v>
      </c>
      <c r="V50">
        <v>171.8</v>
      </c>
      <c r="W50">
        <v>167.3</v>
      </c>
      <c r="X50">
        <v>171.2</v>
      </c>
      <c r="Y50">
        <v>163.4</v>
      </c>
      <c r="Z50">
        <v>165.6</v>
      </c>
      <c r="AA50">
        <v>163.9</v>
      </c>
      <c r="AB50">
        <v>174</v>
      </c>
      <c r="AC50">
        <v>160.1</v>
      </c>
      <c r="AD50">
        <v>164.5</v>
      </c>
      <c r="AE50">
        <v>169.7</v>
      </c>
      <c r="AF50">
        <v>162.80000000000001</v>
      </c>
      <c r="AG50">
        <v>166</v>
      </c>
      <c r="AH50">
        <v>167</v>
      </c>
      <c r="AJ50" s="49" t="s">
        <v>13</v>
      </c>
      <c r="AK50" s="50">
        <f>CORREL($B$4:$B$32,Table2730[Non-alcoholic beverages])</f>
        <v>0.70887370755713175</v>
      </c>
    </row>
    <row r="51" spans="1:37" x14ac:dyDescent="0.35">
      <c r="A51" s="44">
        <v>44562</v>
      </c>
      <c r="B51" s="45">
        <v>86692.515382787504</v>
      </c>
      <c r="E51" t="s">
        <v>30</v>
      </c>
      <c r="F51">
        <v>2022</v>
      </c>
      <c r="G51" t="s">
        <v>31</v>
      </c>
      <c r="H51">
        <v>148.30000000000001</v>
      </c>
      <c r="I51">
        <v>196.9</v>
      </c>
      <c r="J51">
        <v>178</v>
      </c>
      <c r="K51">
        <v>160.5</v>
      </c>
      <c r="L51">
        <v>192.6</v>
      </c>
      <c r="M51">
        <v>151.19999999999999</v>
      </c>
      <c r="N51">
        <v>159.19999999999999</v>
      </c>
      <c r="O51">
        <v>164</v>
      </c>
      <c r="P51">
        <v>119.3</v>
      </c>
      <c r="Q51">
        <v>173.3</v>
      </c>
      <c r="R51">
        <v>169.8</v>
      </c>
      <c r="S51">
        <v>175.8</v>
      </c>
      <c r="T51">
        <v>164.1</v>
      </c>
      <c r="U51">
        <v>190.7</v>
      </c>
      <c r="V51">
        <v>173.2</v>
      </c>
      <c r="W51">
        <v>169.3</v>
      </c>
      <c r="X51">
        <v>172.7</v>
      </c>
      <c r="Y51">
        <v>164.5</v>
      </c>
      <c r="Z51">
        <v>165.8</v>
      </c>
      <c r="AA51">
        <v>164.9</v>
      </c>
      <c r="AB51">
        <v>174.7</v>
      </c>
      <c r="AC51">
        <v>160.80000000000001</v>
      </c>
      <c r="AD51">
        <v>164.9</v>
      </c>
      <c r="AE51">
        <v>169.9</v>
      </c>
      <c r="AF51">
        <v>163.19999999999999</v>
      </c>
      <c r="AG51">
        <v>166.6</v>
      </c>
      <c r="AH51">
        <v>166.4</v>
      </c>
      <c r="AJ51" s="49" t="s">
        <v>14</v>
      </c>
      <c r="AK51" s="50">
        <f>CORREL($B$4:$B$32,Table2730[Prepared meals, snacks, sweets etc.])</f>
        <v>0.64424433928610969</v>
      </c>
    </row>
    <row r="52" spans="1:37" x14ac:dyDescent="0.35">
      <c r="A52" s="46">
        <v>44593</v>
      </c>
      <c r="B52" s="45">
        <v>87441.416368947481</v>
      </c>
      <c r="E52" t="s">
        <v>30</v>
      </c>
      <c r="F52">
        <v>2022</v>
      </c>
      <c r="G52" t="s">
        <v>35</v>
      </c>
      <c r="H52">
        <v>148.80000000000001</v>
      </c>
      <c r="I52">
        <v>198.1</v>
      </c>
      <c r="J52">
        <v>175.5</v>
      </c>
      <c r="K52">
        <v>160.69999999999999</v>
      </c>
      <c r="L52">
        <v>192.6</v>
      </c>
      <c r="M52">
        <v>151.4</v>
      </c>
      <c r="N52">
        <v>155.19999999999999</v>
      </c>
      <c r="O52">
        <v>163.9</v>
      </c>
      <c r="P52">
        <v>118.1</v>
      </c>
      <c r="Q52">
        <v>175.4</v>
      </c>
      <c r="R52">
        <v>170.5</v>
      </c>
      <c r="S52">
        <v>176.3</v>
      </c>
      <c r="T52">
        <v>163.9</v>
      </c>
      <c r="U52">
        <v>191.5</v>
      </c>
      <c r="V52">
        <v>174.1</v>
      </c>
      <c r="W52">
        <v>171</v>
      </c>
      <c r="X52">
        <v>173.7</v>
      </c>
      <c r="Y52">
        <v>165.5</v>
      </c>
      <c r="Z52">
        <v>167.4</v>
      </c>
      <c r="AA52">
        <v>165.7</v>
      </c>
      <c r="AB52">
        <v>175.3</v>
      </c>
      <c r="AC52">
        <v>161.19999999999999</v>
      </c>
      <c r="AD52">
        <v>165.5</v>
      </c>
      <c r="AE52">
        <v>170.3</v>
      </c>
      <c r="AF52">
        <v>164.5</v>
      </c>
      <c r="AG52">
        <v>167.3</v>
      </c>
      <c r="AH52">
        <v>166.7</v>
      </c>
      <c r="AJ52" s="49" t="s">
        <v>15</v>
      </c>
      <c r="AK52" s="50">
        <f>CORREL($B$4:$B$32,Table2730[Food and beverages])</f>
        <v>0.70423110617365403</v>
      </c>
    </row>
    <row r="53" spans="1:37" x14ac:dyDescent="0.35">
      <c r="A53" s="44">
        <v>44621</v>
      </c>
      <c r="B53" s="45">
        <v>113228.86524779514</v>
      </c>
      <c r="E53" t="s">
        <v>30</v>
      </c>
      <c r="F53">
        <v>2022</v>
      </c>
      <c r="G53" t="s">
        <v>36</v>
      </c>
      <c r="H53">
        <v>150.19999999999999</v>
      </c>
      <c r="I53">
        <v>208</v>
      </c>
      <c r="J53">
        <v>167.9</v>
      </c>
      <c r="K53">
        <v>162</v>
      </c>
      <c r="L53">
        <v>203.1</v>
      </c>
      <c r="M53">
        <v>155.9</v>
      </c>
      <c r="N53">
        <v>155.80000000000001</v>
      </c>
      <c r="O53">
        <v>164.2</v>
      </c>
      <c r="P53">
        <v>118.1</v>
      </c>
      <c r="Q53">
        <v>178.7</v>
      </c>
      <c r="R53">
        <v>171.2</v>
      </c>
      <c r="S53">
        <v>177.4</v>
      </c>
      <c r="T53">
        <v>166.6</v>
      </c>
      <c r="U53">
        <v>192.3</v>
      </c>
      <c r="V53">
        <v>175.4</v>
      </c>
      <c r="W53">
        <v>173.2</v>
      </c>
      <c r="X53">
        <v>175.1</v>
      </c>
      <c r="Y53">
        <v>165.3</v>
      </c>
      <c r="Z53">
        <v>168.9</v>
      </c>
      <c r="AA53">
        <v>166.5</v>
      </c>
      <c r="AB53">
        <v>176</v>
      </c>
      <c r="AC53">
        <v>162</v>
      </c>
      <c r="AD53">
        <v>166.6</v>
      </c>
      <c r="AE53">
        <v>170.6</v>
      </c>
      <c r="AF53">
        <v>167.4</v>
      </c>
      <c r="AG53">
        <v>168.3</v>
      </c>
      <c r="AH53">
        <v>168.7</v>
      </c>
      <c r="AJ53" s="49" t="s">
        <v>16</v>
      </c>
      <c r="AK53" s="50">
        <f>CORREL($B$4:$B$32,Table2730[Pan, tobacco and intoxicants])</f>
        <v>0.55393862390170678</v>
      </c>
    </row>
    <row r="54" spans="1:37" x14ac:dyDescent="0.35">
      <c r="A54" s="46">
        <v>44652</v>
      </c>
      <c r="B54" s="45">
        <v>128800.06584155018</v>
      </c>
      <c r="E54" t="s">
        <v>30</v>
      </c>
      <c r="F54">
        <v>2022</v>
      </c>
      <c r="G54" t="s">
        <v>37</v>
      </c>
      <c r="H54">
        <v>151.80000000000001</v>
      </c>
      <c r="I54">
        <v>209.7</v>
      </c>
      <c r="J54">
        <v>164.5</v>
      </c>
      <c r="K54">
        <v>163.80000000000001</v>
      </c>
      <c r="L54">
        <v>207.4</v>
      </c>
      <c r="M54">
        <v>169.7</v>
      </c>
      <c r="N54">
        <v>153.6</v>
      </c>
      <c r="O54">
        <v>165.1</v>
      </c>
      <c r="P54">
        <v>118.2</v>
      </c>
      <c r="Q54">
        <v>182.9</v>
      </c>
      <c r="R54">
        <v>172.4</v>
      </c>
      <c r="S54">
        <v>178.9</v>
      </c>
      <c r="T54">
        <v>168.6</v>
      </c>
      <c r="U54">
        <v>192.8</v>
      </c>
      <c r="V54">
        <v>177.5</v>
      </c>
      <c r="W54">
        <v>175.1</v>
      </c>
      <c r="X54">
        <v>177.1</v>
      </c>
      <c r="Y54">
        <v>167</v>
      </c>
      <c r="Z54">
        <v>173.3</v>
      </c>
      <c r="AA54">
        <v>167.7</v>
      </c>
      <c r="AB54">
        <v>177</v>
      </c>
      <c r="AC54">
        <v>166.2</v>
      </c>
      <c r="AD54">
        <v>167.2</v>
      </c>
      <c r="AE54">
        <v>170.9</v>
      </c>
      <c r="AF54">
        <v>169</v>
      </c>
      <c r="AG54">
        <v>170.2</v>
      </c>
      <c r="AH54">
        <v>170.8</v>
      </c>
      <c r="AJ54" s="49" t="s">
        <v>17</v>
      </c>
      <c r="AK54" s="50">
        <f>CORREL($B$4:$B$32,Table2730[Clothing])</f>
        <v>0.67536389432931054</v>
      </c>
    </row>
    <row r="55" spans="1:37" x14ac:dyDescent="0.35">
      <c r="A55" s="44">
        <v>44682</v>
      </c>
      <c r="B55" s="45">
        <v>119633.62181054099</v>
      </c>
      <c r="E55" t="s">
        <v>30</v>
      </c>
      <c r="F55">
        <v>2022</v>
      </c>
      <c r="G55" t="s">
        <v>38</v>
      </c>
      <c r="H55">
        <v>152.9</v>
      </c>
      <c r="I55">
        <v>214.7</v>
      </c>
      <c r="J55">
        <v>161.4</v>
      </c>
      <c r="K55">
        <v>164.6</v>
      </c>
      <c r="L55">
        <v>209.9</v>
      </c>
      <c r="M55">
        <v>168</v>
      </c>
      <c r="N55">
        <v>160.4</v>
      </c>
      <c r="O55">
        <v>165</v>
      </c>
      <c r="P55">
        <v>118.9</v>
      </c>
      <c r="Q55">
        <v>186.6</v>
      </c>
      <c r="R55">
        <v>173.2</v>
      </c>
      <c r="S55">
        <v>180.4</v>
      </c>
      <c r="T55">
        <v>170.8</v>
      </c>
      <c r="U55">
        <v>192.9</v>
      </c>
      <c r="V55">
        <v>179.3</v>
      </c>
      <c r="W55">
        <v>177.2</v>
      </c>
      <c r="X55">
        <v>179</v>
      </c>
      <c r="Y55">
        <v>167.5</v>
      </c>
      <c r="Z55">
        <v>175.3</v>
      </c>
      <c r="AA55">
        <v>168.9</v>
      </c>
      <c r="AB55">
        <v>177.7</v>
      </c>
      <c r="AC55">
        <v>167.1</v>
      </c>
      <c r="AD55">
        <v>167.6</v>
      </c>
      <c r="AE55">
        <v>171.8</v>
      </c>
      <c r="AF55">
        <v>168.5</v>
      </c>
      <c r="AG55">
        <v>170.9</v>
      </c>
      <c r="AH55">
        <v>172.5</v>
      </c>
      <c r="AJ55" s="49" t="s">
        <v>18</v>
      </c>
      <c r="AK55" s="50">
        <f>CORREL($B$4:$B$32,Table2730[Footwear])</f>
        <v>0.71172391329144868</v>
      </c>
    </row>
    <row r="56" spans="1:37" x14ac:dyDescent="0.35">
      <c r="A56" s="46">
        <v>44713</v>
      </c>
      <c r="B56" s="45">
        <v>121897.63969956485</v>
      </c>
      <c r="E56" t="s">
        <v>30</v>
      </c>
      <c r="F56">
        <v>2022</v>
      </c>
      <c r="G56" t="s">
        <v>39</v>
      </c>
      <c r="H56">
        <v>153.80000000000001</v>
      </c>
      <c r="I56">
        <v>217.2</v>
      </c>
      <c r="J56">
        <v>169.6</v>
      </c>
      <c r="K56">
        <v>165.4</v>
      </c>
      <c r="L56">
        <v>208.1</v>
      </c>
      <c r="M56">
        <v>165.8</v>
      </c>
      <c r="N56">
        <v>167.3</v>
      </c>
      <c r="O56">
        <v>164.6</v>
      </c>
      <c r="P56">
        <v>119.1</v>
      </c>
      <c r="Q56">
        <v>188.9</v>
      </c>
      <c r="R56">
        <v>174.2</v>
      </c>
      <c r="S56">
        <v>181.9</v>
      </c>
      <c r="T56">
        <v>172.4</v>
      </c>
      <c r="U56">
        <v>192.9</v>
      </c>
      <c r="V56">
        <v>180.7</v>
      </c>
      <c r="W56">
        <v>178.7</v>
      </c>
      <c r="X56">
        <v>180.4</v>
      </c>
      <c r="Y56">
        <v>166.8</v>
      </c>
      <c r="Z56">
        <v>176.7</v>
      </c>
      <c r="AA56">
        <v>170.3</v>
      </c>
      <c r="AB56">
        <v>178.2</v>
      </c>
      <c r="AC56">
        <v>165.5</v>
      </c>
      <c r="AD56">
        <v>168</v>
      </c>
      <c r="AE56">
        <v>172.6</v>
      </c>
      <c r="AF56">
        <v>169.5</v>
      </c>
      <c r="AG56">
        <v>171</v>
      </c>
      <c r="AH56">
        <v>173.6</v>
      </c>
      <c r="AJ56" s="49" t="s">
        <v>19</v>
      </c>
      <c r="AK56" s="50">
        <f>CORREL($B$4:$B$32,Table2730[Clothing and footwear])</f>
        <v>0.68041151127011368</v>
      </c>
    </row>
    <row r="57" spans="1:37" x14ac:dyDescent="0.35">
      <c r="A57" s="44">
        <v>44743</v>
      </c>
      <c r="B57" s="45">
        <v>128755.46490262874</v>
      </c>
      <c r="E57" t="s">
        <v>30</v>
      </c>
      <c r="F57">
        <v>2022</v>
      </c>
      <c r="G57" t="s">
        <v>40</v>
      </c>
      <c r="H57">
        <v>155.19999999999999</v>
      </c>
      <c r="I57">
        <v>210.8</v>
      </c>
      <c r="J57">
        <v>174.3</v>
      </c>
      <c r="K57">
        <v>166.3</v>
      </c>
      <c r="L57">
        <v>202.2</v>
      </c>
      <c r="M57">
        <v>169.6</v>
      </c>
      <c r="N57">
        <v>168.6</v>
      </c>
      <c r="O57">
        <v>164.4</v>
      </c>
      <c r="P57">
        <v>119.2</v>
      </c>
      <c r="Q57">
        <v>191.8</v>
      </c>
      <c r="R57">
        <v>174.5</v>
      </c>
      <c r="S57">
        <v>183.1</v>
      </c>
      <c r="T57">
        <v>172.5</v>
      </c>
      <c r="U57">
        <v>193.2</v>
      </c>
      <c r="V57">
        <v>182</v>
      </c>
      <c r="W57">
        <v>180.3</v>
      </c>
      <c r="X57">
        <v>181.7</v>
      </c>
      <c r="Y57">
        <v>167.8</v>
      </c>
      <c r="Z57">
        <v>179.6</v>
      </c>
      <c r="AA57">
        <v>171.3</v>
      </c>
      <c r="AB57">
        <v>178.8</v>
      </c>
      <c r="AC57">
        <v>166.3</v>
      </c>
      <c r="AD57">
        <v>168.6</v>
      </c>
      <c r="AE57">
        <v>174.7</v>
      </c>
      <c r="AF57">
        <v>169.7</v>
      </c>
      <c r="AG57">
        <v>171.8</v>
      </c>
      <c r="AH57">
        <v>174.3</v>
      </c>
      <c r="AJ57" s="49" t="s">
        <v>20</v>
      </c>
      <c r="AK57" s="50">
        <f>CORREL($B$4:$B$32,Table2730[Housing])</f>
        <v>0.58648079304588541</v>
      </c>
    </row>
    <row r="58" spans="1:37" x14ac:dyDescent="0.35">
      <c r="A58" s="46">
        <v>44774</v>
      </c>
      <c r="B58" s="45">
        <v>104567.31614182114</v>
      </c>
      <c r="E58" t="s">
        <v>30</v>
      </c>
      <c r="F58">
        <v>2022</v>
      </c>
      <c r="G58" t="s">
        <v>41</v>
      </c>
      <c r="H58">
        <v>159.5</v>
      </c>
      <c r="I58">
        <v>204.1</v>
      </c>
      <c r="J58">
        <v>168.3</v>
      </c>
      <c r="K58">
        <v>167.9</v>
      </c>
      <c r="L58">
        <v>198.1</v>
      </c>
      <c r="M58">
        <v>169.2</v>
      </c>
      <c r="N58">
        <v>173.1</v>
      </c>
      <c r="O58">
        <v>167.1</v>
      </c>
      <c r="P58">
        <v>120.2</v>
      </c>
      <c r="Q58">
        <v>195.6</v>
      </c>
      <c r="R58">
        <v>174.8</v>
      </c>
      <c r="S58">
        <v>184</v>
      </c>
      <c r="T58">
        <v>173.9</v>
      </c>
      <c r="U58">
        <v>193.7</v>
      </c>
      <c r="V58">
        <v>183.2</v>
      </c>
      <c r="W58">
        <v>181.7</v>
      </c>
      <c r="X58">
        <v>183</v>
      </c>
      <c r="Y58">
        <v>169</v>
      </c>
      <c r="Z58">
        <v>179.1</v>
      </c>
      <c r="AA58">
        <v>172.3</v>
      </c>
      <c r="AB58">
        <v>179.4</v>
      </c>
      <c r="AC58">
        <v>166.6</v>
      </c>
      <c r="AD58">
        <v>169.3</v>
      </c>
      <c r="AE58">
        <v>175.7</v>
      </c>
      <c r="AF58">
        <v>171.1</v>
      </c>
      <c r="AG58">
        <v>172.6</v>
      </c>
      <c r="AH58">
        <v>175.3</v>
      </c>
      <c r="AJ58" s="49" t="s">
        <v>21</v>
      </c>
      <c r="AK58" s="50">
        <f>CORREL($B$4:$B$32,Table2730[Fuel and light])</f>
        <v>0.72068205546797437</v>
      </c>
    </row>
    <row r="59" spans="1:37" x14ac:dyDescent="0.35">
      <c r="A59" s="44">
        <v>44805</v>
      </c>
      <c r="B59" s="45">
        <v>95157.741525290738</v>
      </c>
      <c r="E59" t="s">
        <v>30</v>
      </c>
      <c r="F59">
        <v>2022</v>
      </c>
      <c r="G59" t="s">
        <v>42</v>
      </c>
      <c r="H59">
        <v>162.9</v>
      </c>
      <c r="I59">
        <v>206.7</v>
      </c>
      <c r="J59">
        <v>169</v>
      </c>
      <c r="K59">
        <v>169.5</v>
      </c>
      <c r="L59">
        <v>194.1</v>
      </c>
      <c r="M59">
        <v>164.1</v>
      </c>
      <c r="N59">
        <v>176.9</v>
      </c>
      <c r="O59">
        <v>169</v>
      </c>
      <c r="P59">
        <v>120.8</v>
      </c>
      <c r="Q59">
        <v>199.1</v>
      </c>
      <c r="R59">
        <v>175.4</v>
      </c>
      <c r="S59">
        <v>184.8</v>
      </c>
      <c r="T59">
        <v>175.5</v>
      </c>
      <c r="U59">
        <v>194.5</v>
      </c>
      <c r="V59">
        <v>184.7</v>
      </c>
      <c r="W59">
        <v>183.3</v>
      </c>
      <c r="X59">
        <v>184.5</v>
      </c>
      <c r="Y59">
        <v>169.5</v>
      </c>
      <c r="Z59">
        <v>179.7</v>
      </c>
      <c r="AA59">
        <v>173.6</v>
      </c>
      <c r="AB59">
        <v>180.2</v>
      </c>
      <c r="AC59">
        <v>166.9</v>
      </c>
      <c r="AD59">
        <v>170</v>
      </c>
      <c r="AE59">
        <v>176.2</v>
      </c>
      <c r="AF59">
        <v>170.8</v>
      </c>
      <c r="AG59">
        <v>173.1</v>
      </c>
      <c r="AH59">
        <v>176.4</v>
      </c>
      <c r="AJ59" s="49" t="s">
        <v>22</v>
      </c>
      <c r="AK59" s="50">
        <f>CORREL($B$4:$B$32,Table2730[Household goods and services])</f>
        <v>0.64045989958911564</v>
      </c>
    </row>
    <row r="60" spans="1:37" x14ac:dyDescent="0.35">
      <c r="A60" s="46">
        <v>44835</v>
      </c>
      <c r="B60" s="45">
        <v>99194.385511237808</v>
      </c>
      <c r="E60" t="s">
        <v>30</v>
      </c>
      <c r="F60">
        <v>2022</v>
      </c>
      <c r="G60" t="s">
        <v>43</v>
      </c>
      <c r="H60">
        <v>164.7</v>
      </c>
      <c r="I60">
        <v>208.8</v>
      </c>
      <c r="J60">
        <v>170.3</v>
      </c>
      <c r="K60">
        <v>170.9</v>
      </c>
      <c r="L60">
        <v>191.6</v>
      </c>
      <c r="M60">
        <v>162.19999999999999</v>
      </c>
      <c r="N60">
        <v>184.8</v>
      </c>
      <c r="O60">
        <v>169.7</v>
      </c>
      <c r="P60">
        <v>121.1</v>
      </c>
      <c r="Q60">
        <v>201.6</v>
      </c>
      <c r="R60">
        <v>175.8</v>
      </c>
      <c r="S60">
        <v>185.6</v>
      </c>
      <c r="T60">
        <v>177.4</v>
      </c>
      <c r="U60">
        <v>194.9</v>
      </c>
      <c r="V60">
        <v>186.1</v>
      </c>
      <c r="W60">
        <v>184.4</v>
      </c>
      <c r="X60">
        <v>185.9</v>
      </c>
      <c r="Y60">
        <v>171.2</v>
      </c>
      <c r="Z60">
        <v>180.8</v>
      </c>
      <c r="AA60">
        <v>174.4</v>
      </c>
      <c r="AB60">
        <v>181.2</v>
      </c>
      <c r="AC60">
        <v>167.4</v>
      </c>
      <c r="AD60">
        <v>170.6</v>
      </c>
      <c r="AE60">
        <v>176.5</v>
      </c>
      <c r="AF60">
        <v>172</v>
      </c>
      <c r="AG60">
        <v>173.9</v>
      </c>
      <c r="AH60">
        <v>177.9</v>
      </c>
      <c r="AJ60" s="49" t="s">
        <v>23</v>
      </c>
      <c r="AK60" s="50">
        <f>CORREL($B$4:$B$32,Table2730[Health])</f>
        <v>0.62497226805585238</v>
      </c>
    </row>
    <row r="61" spans="1:37" x14ac:dyDescent="0.35">
      <c r="A61" s="44">
        <v>44866</v>
      </c>
      <c r="B61" s="45">
        <v>100258.75918442282</v>
      </c>
      <c r="E61" t="s">
        <v>30</v>
      </c>
      <c r="F61">
        <v>2022</v>
      </c>
      <c r="G61" t="s">
        <v>45</v>
      </c>
      <c r="H61">
        <v>166.9</v>
      </c>
      <c r="I61">
        <v>207.2</v>
      </c>
      <c r="J61">
        <v>180.2</v>
      </c>
      <c r="K61">
        <v>172.3</v>
      </c>
      <c r="L61">
        <v>194</v>
      </c>
      <c r="M61">
        <v>159.1</v>
      </c>
      <c r="N61">
        <v>171.6</v>
      </c>
      <c r="O61">
        <v>170.2</v>
      </c>
      <c r="P61">
        <v>121.5</v>
      </c>
      <c r="Q61">
        <v>204.8</v>
      </c>
      <c r="R61">
        <v>176.4</v>
      </c>
      <c r="S61">
        <v>186.9</v>
      </c>
      <c r="T61">
        <v>176.6</v>
      </c>
      <c r="U61">
        <v>195.5</v>
      </c>
      <c r="V61">
        <v>187.2</v>
      </c>
      <c r="W61">
        <v>185.2</v>
      </c>
      <c r="X61">
        <v>186.9</v>
      </c>
      <c r="Y61">
        <v>171.8</v>
      </c>
      <c r="Z61">
        <v>181.9</v>
      </c>
      <c r="AA61">
        <v>175.5</v>
      </c>
      <c r="AB61">
        <v>182.3</v>
      </c>
      <c r="AC61">
        <v>167.5</v>
      </c>
      <c r="AD61">
        <v>170.8</v>
      </c>
      <c r="AE61">
        <v>176.9</v>
      </c>
      <c r="AF61">
        <v>173.4</v>
      </c>
      <c r="AG61">
        <v>174.6</v>
      </c>
      <c r="AH61">
        <v>177.8</v>
      </c>
      <c r="AJ61" s="49" t="s">
        <v>24</v>
      </c>
      <c r="AK61" s="50">
        <f>CORREL($B$4:$B$32,Table2730[Transport and communication])</f>
        <v>0.77023059649641301</v>
      </c>
    </row>
    <row r="62" spans="1:37" x14ac:dyDescent="0.35">
      <c r="A62" s="46">
        <v>44896</v>
      </c>
      <c r="B62" s="45">
        <v>94253.237400611397</v>
      </c>
      <c r="E62" t="s">
        <v>30</v>
      </c>
      <c r="F62">
        <v>2022</v>
      </c>
      <c r="G62" t="s">
        <v>46</v>
      </c>
      <c r="H62">
        <v>168.8</v>
      </c>
      <c r="I62">
        <v>206.9</v>
      </c>
      <c r="J62">
        <v>189.1</v>
      </c>
      <c r="K62">
        <v>173.4</v>
      </c>
      <c r="L62">
        <v>193.9</v>
      </c>
      <c r="M62">
        <v>156.69999999999999</v>
      </c>
      <c r="N62">
        <v>150.19999999999999</v>
      </c>
      <c r="O62">
        <v>170.5</v>
      </c>
      <c r="P62">
        <v>121.2</v>
      </c>
      <c r="Q62">
        <v>207.5</v>
      </c>
      <c r="R62">
        <v>176.8</v>
      </c>
      <c r="S62">
        <v>187.7</v>
      </c>
      <c r="T62">
        <v>174.4</v>
      </c>
      <c r="U62">
        <v>195.9</v>
      </c>
      <c r="V62">
        <v>188.1</v>
      </c>
      <c r="W62">
        <v>185.9</v>
      </c>
      <c r="X62">
        <v>187.8</v>
      </c>
      <c r="Y62">
        <v>170.7</v>
      </c>
      <c r="Z62">
        <v>182.8</v>
      </c>
      <c r="AA62">
        <v>176.4</v>
      </c>
      <c r="AB62">
        <v>183.5</v>
      </c>
      <c r="AC62">
        <v>167.8</v>
      </c>
      <c r="AD62">
        <v>171.2</v>
      </c>
      <c r="AE62">
        <v>177.3</v>
      </c>
      <c r="AF62">
        <v>175.7</v>
      </c>
      <c r="AG62">
        <v>175.5</v>
      </c>
      <c r="AH62">
        <v>177.1</v>
      </c>
      <c r="AJ62" s="49" t="s">
        <v>25</v>
      </c>
      <c r="AK62" s="50">
        <f>CORREL($B$4:$B$32,Table2730[Recreation and amusement])</f>
        <v>0.69151697093500875</v>
      </c>
    </row>
    <row r="63" spans="1:37" x14ac:dyDescent="0.35">
      <c r="A63" s="44">
        <v>44927</v>
      </c>
      <c r="B63" s="45">
        <v>92441.854830099124</v>
      </c>
      <c r="E63" t="s">
        <v>30</v>
      </c>
      <c r="F63">
        <v>2023</v>
      </c>
      <c r="G63" t="s">
        <v>31</v>
      </c>
      <c r="H63">
        <v>174</v>
      </c>
      <c r="I63">
        <v>208.3</v>
      </c>
      <c r="J63">
        <v>192.9</v>
      </c>
      <c r="K63">
        <v>174.3</v>
      </c>
      <c r="L63">
        <v>192.6</v>
      </c>
      <c r="M63">
        <v>156.30000000000001</v>
      </c>
      <c r="N63">
        <v>142.9</v>
      </c>
      <c r="O63">
        <v>170.7</v>
      </c>
      <c r="P63">
        <v>120.3</v>
      </c>
      <c r="Q63">
        <v>210.5</v>
      </c>
      <c r="R63">
        <v>176.9</v>
      </c>
      <c r="S63">
        <v>188.5</v>
      </c>
      <c r="T63">
        <v>175</v>
      </c>
      <c r="U63">
        <v>196.9</v>
      </c>
      <c r="V63">
        <v>189</v>
      </c>
      <c r="W63">
        <v>186.3</v>
      </c>
      <c r="X63">
        <v>188.6</v>
      </c>
      <c r="Y63">
        <v>172.1</v>
      </c>
      <c r="Z63">
        <v>183.2</v>
      </c>
      <c r="AA63">
        <v>177.2</v>
      </c>
      <c r="AB63">
        <v>184.7</v>
      </c>
      <c r="AC63">
        <v>168.2</v>
      </c>
      <c r="AD63">
        <v>171.8</v>
      </c>
      <c r="AE63">
        <v>177.8</v>
      </c>
      <c r="AF63">
        <v>178.4</v>
      </c>
      <c r="AG63">
        <v>176.5</v>
      </c>
      <c r="AH63">
        <v>177.8</v>
      </c>
      <c r="AJ63" s="49" t="s">
        <v>26</v>
      </c>
      <c r="AK63" s="50">
        <f>CORREL($B$4:$B$32,Table2730[Education])</f>
        <v>0.60017630206364248</v>
      </c>
    </row>
    <row r="64" spans="1:37" x14ac:dyDescent="0.35">
      <c r="A64" s="46">
        <v>44958</v>
      </c>
      <c r="B64" s="45">
        <v>85798.258921224522</v>
      </c>
      <c r="E64" t="s">
        <v>30</v>
      </c>
      <c r="F64">
        <v>2023</v>
      </c>
      <c r="G64" t="s">
        <v>35</v>
      </c>
      <c r="H64">
        <v>174.2</v>
      </c>
      <c r="I64">
        <v>205.2</v>
      </c>
      <c r="J64">
        <v>173.9</v>
      </c>
      <c r="K64">
        <v>177</v>
      </c>
      <c r="L64">
        <v>183.4</v>
      </c>
      <c r="M64">
        <v>167.2</v>
      </c>
      <c r="N64">
        <v>140.9</v>
      </c>
      <c r="O64">
        <v>170.4</v>
      </c>
      <c r="P64">
        <v>119.1</v>
      </c>
      <c r="Q64">
        <v>212.1</v>
      </c>
      <c r="R64">
        <v>177.6</v>
      </c>
      <c r="S64">
        <v>189.9</v>
      </c>
      <c r="T64">
        <v>174.8</v>
      </c>
      <c r="U64">
        <v>198.3</v>
      </c>
      <c r="V64">
        <v>190</v>
      </c>
      <c r="W64">
        <v>187</v>
      </c>
      <c r="X64">
        <v>189.6</v>
      </c>
      <c r="Y64">
        <v>173.5</v>
      </c>
      <c r="Z64">
        <v>181.6</v>
      </c>
      <c r="AA64">
        <v>178.6</v>
      </c>
      <c r="AB64">
        <v>186.6</v>
      </c>
      <c r="AC64">
        <v>169</v>
      </c>
      <c r="AD64">
        <v>172.8</v>
      </c>
      <c r="AE64">
        <v>178.5</v>
      </c>
      <c r="AF64">
        <v>180.7</v>
      </c>
      <c r="AG64">
        <v>177.9</v>
      </c>
      <c r="AH64">
        <v>178</v>
      </c>
      <c r="AJ64" s="49" t="s">
        <v>27</v>
      </c>
      <c r="AK64" s="50">
        <f>CORREL($B$4:$B$32,Table2730[Personal care and effects])</f>
        <v>0.57143790107881887</v>
      </c>
    </row>
    <row r="65" spans="1:37" x14ac:dyDescent="0.35">
      <c r="A65" s="44">
        <v>44986</v>
      </c>
      <c r="B65" s="45">
        <v>89613.478577777831</v>
      </c>
      <c r="E65" t="s">
        <v>30</v>
      </c>
      <c r="F65">
        <v>2023</v>
      </c>
      <c r="G65" t="s">
        <v>36</v>
      </c>
      <c r="H65">
        <v>174.3</v>
      </c>
      <c r="I65">
        <v>205.2</v>
      </c>
      <c r="J65">
        <v>173.9</v>
      </c>
      <c r="K65">
        <v>177</v>
      </c>
      <c r="L65">
        <v>183.3</v>
      </c>
      <c r="M65">
        <v>167.2</v>
      </c>
      <c r="N65">
        <v>140.9</v>
      </c>
      <c r="O65">
        <v>170.5</v>
      </c>
      <c r="P65">
        <v>119.1</v>
      </c>
      <c r="Q65">
        <v>212.1</v>
      </c>
      <c r="R65">
        <v>177.6</v>
      </c>
      <c r="S65">
        <v>189.9</v>
      </c>
      <c r="T65">
        <v>174.8</v>
      </c>
      <c r="U65">
        <v>198.4</v>
      </c>
      <c r="V65">
        <v>190</v>
      </c>
      <c r="W65">
        <v>187</v>
      </c>
      <c r="X65">
        <v>189.6</v>
      </c>
      <c r="Y65">
        <v>173.5</v>
      </c>
      <c r="Z65">
        <v>181.4</v>
      </c>
      <c r="AA65">
        <v>178.6</v>
      </c>
      <c r="AB65">
        <v>186.6</v>
      </c>
      <c r="AC65">
        <v>169</v>
      </c>
      <c r="AD65">
        <v>172.8</v>
      </c>
      <c r="AE65">
        <v>178.5</v>
      </c>
      <c r="AF65">
        <v>180.7</v>
      </c>
      <c r="AG65">
        <v>177.9</v>
      </c>
      <c r="AH65">
        <v>178</v>
      </c>
      <c r="AJ65" s="49" t="s">
        <v>28</v>
      </c>
      <c r="AK65" s="50">
        <f>CORREL($B$4:$B$32,Table2730[Miscellaneous])</f>
        <v>0.6646711279614913</v>
      </c>
    </row>
    <row r="66" spans="1:37" x14ac:dyDescent="0.35">
      <c r="A66" s="46">
        <v>45017</v>
      </c>
      <c r="B66" s="45">
        <v>89035.978544082594</v>
      </c>
      <c r="E66" t="s">
        <v>30</v>
      </c>
      <c r="F66">
        <v>2023</v>
      </c>
      <c r="G66" t="s">
        <v>37</v>
      </c>
      <c r="H66">
        <v>173.3</v>
      </c>
      <c r="I66">
        <v>206.9</v>
      </c>
      <c r="J66">
        <v>167.9</v>
      </c>
      <c r="K66">
        <v>178.2</v>
      </c>
      <c r="L66">
        <v>178.5</v>
      </c>
      <c r="M66">
        <v>173.7</v>
      </c>
      <c r="N66">
        <v>142.80000000000001</v>
      </c>
      <c r="O66">
        <v>172.8</v>
      </c>
      <c r="P66">
        <v>120.4</v>
      </c>
      <c r="Q66">
        <v>215.5</v>
      </c>
      <c r="R66">
        <v>178.2</v>
      </c>
      <c r="S66">
        <v>190.5</v>
      </c>
      <c r="T66">
        <v>175.5</v>
      </c>
      <c r="U66">
        <v>199.5</v>
      </c>
      <c r="V66">
        <v>190.7</v>
      </c>
      <c r="W66">
        <v>187.3</v>
      </c>
      <c r="X66">
        <v>190.2</v>
      </c>
      <c r="Y66">
        <v>175.2</v>
      </c>
      <c r="Z66">
        <v>181.5</v>
      </c>
      <c r="AA66">
        <v>179.1</v>
      </c>
      <c r="AB66">
        <v>187.2</v>
      </c>
      <c r="AC66">
        <v>169.4</v>
      </c>
      <c r="AD66">
        <v>173.2</v>
      </c>
      <c r="AE66">
        <v>179.4</v>
      </c>
      <c r="AF66">
        <v>183.8</v>
      </c>
      <c r="AG66">
        <v>178.9</v>
      </c>
      <c r="AH66">
        <v>178.8</v>
      </c>
      <c r="AK66" s="48"/>
    </row>
    <row r="67" spans="1:37" x14ac:dyDescent="0.35">
      <c r="A67" s="47">
        <v>45047</v>
      </c>
      <c r="B67" s="35">
        <v>87955.310700035101</v>
      </c>
      <c r="E67" t="s">
        <v>30</v>
      </c>
      <c r="F67">
        <v>2023</v>
      </c>
      <c r="G67" t="s">
        <v>38</v>
      </c>
      <c r="H67">
        <v>173.2</v>
      </c>
      <c r="I67">
        <v>211.5</v>
      </c>
      <c r="J67">
        <v>171</v>
      </c>
      <c r="K67">
        <v>179.6</v>
      </c>
      <c r="L67">
        <v>173.3</v>
      </c>
      <c r="M67">
        <v>169</v>
      </c>
      <c r="N67">
        <v>148.69999999999999</v>
      </c>
      <c r="O67">
        <v>174.9</v>
      </c>
      <c r="P67">
        <v>121.9</v>
      </c>
      <c r="Q67">
        <v>221</v>
      </c>
      <c r="R67">
        <v>178.7</v>
      </c>
      <c r="S67">
        <v>191.1</v>
      </c>
      <c r="T67">
        <v>176.8</v>
      </c>
      <c r="U67">
        <v>199.9</v>
      </c>
      <c r="V67">
        <v>191.2</v>
      </c>
      <c r="W67">
        <v>187.9</v>
      </c>
      <c r="X67">
        <v>190.8</v>
      </c>
      <c r="Y67">
        <v>175.6</v>
      </c>
      <c r="Z67">
        <v>182.5</v>
      </c>
      <c r="AA67">
        <v>179.8</v>
      </c>
      <c r="AB67">
        <v>187.8</v>
      </c>
      <c r="AC67">
        <v>169.7</v>
      </c>
      <c r="AD67">
        <v>173.8</v>
      </c>
      <c r="AE67">
        <v>180.3</v>
      </c>
      <c r="AF67">
        <v>184.9</v>
      </c>
      <c r="AG67">
        <v>179.5</v>
      </c>
      <c r="AH67">
        <v>179.8</v>
      </c>
    </row>
    <row r="68" spans="1:37" x14ac:dyDescent="0.35">
      <c r="H68">
        <f>CORREL($B$4:$B$32,Table2730[Cereals and products])</f>
        <v>0.44083035075183313</v>
      </c>
      <c r="I68">
        <f>CORREL($B$4:$B$32,Table2730[Meat and fish])</f>
        <v>0.79884482982723004</v>
      </c>
      <c r="J68">
        <f>CORREL($B$4:$B$32,Table2730[Egg])</f>
        <v>-8.5227829696874591E-2</v>
      </c>
      <c r="K68">
        <f>CORREL($B$4:$B$32,Table2730[Milk and products])</f>
        <v>0.53315611883300407</v>
      </c>
      <c r="L68">
        <f>CORREL($B$4:$B$32,Table2730[Oils and fats])</f>
        <v>0.72034593492945742</v>
      </c>
      <c r="M68">
        <f>CORREL($B$4:$B$32,Table2730[Fruits])</f>
        <v>0.61651579122352285</v>
      </c>
      <c r="N68">
        <f>CORREL($B$4:$B$32,Table2730[Vegetables])</f>
        <v>0.25670757016681151</v>
      </c>
      <c r="O68">
        <f>CORREL($B$4:$B$32,Table2730[Pulses and products])</f>
        <v>0.39758028219576552</v>
      </c>
      <c r="P68">
        <f>CORREL($B$4:$B$32,Table2730[Sugar and Confectionery])</f>
        <v>0.60017783315626794</v>
      </c>
      <c r="Q68">
        <f>CORREL($B$4:$B$32,Table2730[Spices])</f>
        <v>0.5204315934494792</v>
      </c>
      <c r="R68">
        <f>CORREL($B$4:$B$32,Table2730[Non-alcoholic beverages])</f>
        <v>0.70887370755713175</v>
      </c>
      <c r="S68">
        <f>CORREL($B$4:$B$32,Table2730[Prepared meals, snacks, sweets etc.])</f>
        <v>0.64424433928610969</v>
      </c>
      <c r="T68">
        <f>CORREL($B$4:$B$32,Table2730[Food and beverages])</f>
        <v>0.70423110617365403</v>
      </c>
      <c r="U68">
        <f>CORREL($B$4:$B$32,Table2730[Pan, tobacco and intoxicants])</f>
        <v>0.55393862390170678</v>
      </c>
      <c r="V68">
        <f>CORREL($B$4:$B$32,Table2730[Clothing])</f>
        <v>0.67536389432931054</v>
      </c>
      <c r="W68">
        <f>CORREL($B$4:$B$32,Table2730[Footwear])</f>
        <v>0.71172391329144868</v>
      </c>
      <c r="X68">
        <f>CORREL($B$4:$B$32,Table2730[Clothing and footwear])</f>
        <v>0.68041151127011368</v>
      </c>
      <c r="Y68">
        <f>CORREL($B$4:$B$32,Table2730[Housing])</f>
        <v>0.58648079304588541</v>
      </c>
      <c r="Z68">
        <f>CORREL($B$4:$B$32,Table2730[Fuel and light])</f>
        <v>0.72068205546797437</v>
      </c>
      <c r="AA68">
        <f>CORREL($B$4:$B$32,Table2730[Household goods and services])</f>
        <v>0.64045989958911564</v>
      </c>
      <c r="AB68">
        <f>CORREL($B$4:$B$32,Table2730[Health])</f>
        <v>0.62497226805585238</v>
      </c>
      <c r="AC68">
        <f>CORREL($B$4:$B$32,Table2730[Transport and communication])</f>
        <v>0.77023059649641301</v>
      </c>
      <c r="AD68">
        <f>CORREL($B$4:$B$32,Table2730[Recreation and amusement])</f>
        <v>0.69151697093500875</v>
      </c>
      <c r="AE68">
        <f>CORREL($B$4:$B$32,Table2730[Education])</f>
        <v>0.60017630206364248</v>
      </c>
      <c r="AF68">
        <f>CORREL($B$4:$B$32,Table2730[Personal care and effects])</f>
        <v>0.57143790107881887</v>
      </c>
      <c r="AG68">
        <f>CORREL($B$4:$B$32,Table2730[Miscellaneous])</f>
        <v>0.6646711279614913</v>
      </c>
      <c r="AH68">
        <f>CORREL($B$4:$B$32,Table2730[General index])</f>
        <v>0.69882122825598181</v>
      </c>
    </row>
    <row r="72" spans="1:37" x14ac:dyDescent="0.35">
      <c r="A72" s="52" t="s">
        <v>136</v>
      </c>
      <c r="B72" s="52"/>
    </row>
    <row r="73" spans="1:37" x14ac:dyDescent="0.35">
      <c r="A73" s="42" t="s">
        <v>137</v>
      </c>
      <c r="B73" s="43" t="s">
        <v>135</v>
      </c>
      <c r="E73" s="22" t="s">
        <v>0</v>
      </c>
      <c r="F73" s="22" t="s">
        <v>1</v>
      </c>
      <c r="G73" s="22" t="s">
        <v>2</v>
      </c>
      <c r="H73" s="5" t="s">
        <v>3</v>
      </c>
      <c r="I73" s="5" t="s">
        <v>4</v>
      </c>
      <c r="J73" s="5" t="s">
        <v>5</v>
      </c>
      <c r="K73" s="5" t="s">
        <v>6</v>
      </c>
      <c r="L73" s="5" t="s">
        <v>7</v>
      </c>
      <c r="M73" s="5" t="s">
        <v>8</v>
      </c>
      <c r="N73" s="5" t="s">
        <v>9</v>
      </c>
      <c r="O73" s="5" t="s">
        <v>10</v>
      </c>
      <c r="P73" s="5" t="s">
        <v>11</v>
      </c>
      <c r="Q73" s="5" t="s">
        <v>12</v>
      </c>
      <c r="R73" s="5" t="s">
        <v>13</v>
      </c>
      <c r="S73" s="5" t="s">
        <v>14</v>
      </c>
      <c r="T73" s="5" t="s">
        <v>15</v>
      </c>
      <c r="U73" s="5" t="s">
        <v>16</v>
      </c>
      <c r="V73" s="5" t="s">
        <v>17</v>
      </c>
      <c r="W73" s="5" t="s">
        <v>18</v>
      </c>
      <c r="X73" s="5" t="s">
        <v>19</v>
      </c>
      <c r="Y73" s="5" t="s">
        <v>20</v>
      </c>
      <c r="Z73" s="5" t="s">
        <v>21</v>
      </c>
      <c r="AA73" s="5" t="s">
        <v>22</v>
      </c>
      <c r="AB73" s="5" t="s">
        <v>23</v>
      </c>
      <c r="AC73" s="5" t="s">
        <v>24</v>
      </c>
      <c r="AD73" s="5" t="s">
        <v>25</v>
      </c>
      <c r="AE73" s="5" t="s">
        <v>26</v>
      </c>
      <c r="AF73" s="5" t="s">
        <v>27</v>
      </c>
      <c r="AG73" s="5" t="s">
        <v>28</v>
      </c>
      <c r="AH73" s="5" t="s">
        <v>29</v>
      </c>
      <c r="AJ73" s="62" t="s">
        <v>140</v>
      </c>
      <c r="AK73" s="62"/>
    </row>
    <row r="74" spans="1:37" x14ac:dyDescent="0.35">
      <c r="A74" s="44">
        <v>44197</v>
      </c>
      <c r="B74" s="45">
        <v>55990.924602459359</v>
      </c>
      <c r="E74" t="s">
        <v>33</v>
      </c>
      <c r="F74">
        <v>2021</v>
      </c>
      <c r="G74" t="s">
        <v>31</v>
      </c>
      <c r="H74">
        <v>148</v>
      </c>
      <c r="I74">
        <v>194.8</v>
      </c>
      <c r="J74">
        <v>178.4</v>
      </c>
      <c r="K74">
        <v>154.4</v>
      </c>
      <c r="L74">
        <v>144.1</v>
      </c>
      <c r="M74">
        <v>152.6</v>
      </c>
      <c r="N74">
        <v>206.8</v>
      </c>
      <c r="O74">
        <v>162.1</v>
      </c>
      <c r="P74">
        <v>116.3</v>
      </c>
      <c r="Q74">
        <v>163</v>
      </c>
      <c r="R74">
        <v>145.9</v>
      </c>
      <c r="S74">
        <v>167.2</v>
      </c>
      <c r="T74">
        <v>163.4</v>
      </c>
      <c r="U74">
        <v>191.8</v>
      </c>
      <c r="V74">
        <v>152.5</v>
      </c>
      <c r="W74">
        <v>137.30000000000001</v>
      </c>
      <c r="X74">
        <v>150.19999999999999</v>
      </c>
      <c r="Y74">
        <v>157.69999999999999</v>
      </c>
      <c r="Z74">
        <v>142.9</v>
      </c>
      <c r="AA74">
        <v>145.69999999999999</v>
      </c>
      <c r="AB74">
        <v>154.1</v>
      </c>
      <c r="AC74">
        <v>136.9</v>
      </c>
      <c r="AD74">
        <v>145.4</v>
      </c>
      <c r="AE74">
        <v>156.1</v>
      </c>
      <c r="AF74">
        <v>157.69999999999999</v>
      </c>
      <c r="AG74">
        <v>147.6</v>
      </c>
      <c r="AH74">
        <v>156</v>
      </c>
      <c r="AJ74" s="62"/>
      <c r="AK74" s="62"/>
    </row>
    <row r="75" spans="1:37" x14ac:dyDescent="0.35">
      <c r="A75" s="46">
        <v>44228</v>
      </c>
      <c r="B75" s="45">
        <v>48033.558892131798</v>
      </c>
      <c r="E75" t="s">
        <v>33</v>
      </c>
      <c r="F75">
        <v>2021</v>
      </c>
      <c r="G75" t="s">
        <v>35</v>
      </c>
      <c r="H75">
        <v>147.6</v>
      </c>
      <c r="I75">
        <v>191.2</v>
      </c>
      <c r="J75">
        <v>169.9</v>
      </c>
      <c r="K75">
        <v>155.1</v>
      </c>
      <c r="L75">
        <v>151.4</v>
      </c>
      <c r="M75">
        <v>154</v>
      </c>
      <c r="N75">
        <v>180.2</v>
      </c>
      <c r="O75">
        <v>159.80000000000001</v>
      </c>
      <c r="P75">
        <v>114.9</v>
      </c>
      <c r="Q75">
        <v>162.5</v>
      </c>
      <c r="R75">
        <v>149.19999999999999</v>
      </c>
      <c r="S75">
        <v>169.4</v>
      </c>
      <c r="T75">
        <v>160.80000000000001</v>
      </c>
      <c r="U75">
        <v>193.3</v>
      </c>
      <c r="V75">
        <v>154.19999999999999</v>
      </c>
      <c r="W75">
        <v>138.19999999999999</v>
      </c>
      <c r="X75">
        <v>151.80000000000001</v>
      </c>
      <c r="Y75">
        <v>159.80000000000001</v>
      </c>
      <c r="Z75">
        <v>149.1</v>
      </c>
      <c r="AA75">
        <v>146.5</v>
      </c>
      <c r="AB75">
        <v>156.30000000000001</v>
      </c>
      <c r="AC75">
        <v>140.5</v>
      </c>
      <c r="AD75">
        <v>147.30000000000001</v>
      </c>
      <c r="AE75">
        <v>156.6</v>
      </c>
      <c r="AF75">
        <v>156.69999999999999</v>
      </c>
      <c r="AG75">
        <v>149.30000000000001</v>
      </c>
      <c r="AH75">
        <v>156.5</v>
      </c>
      <c r="AJ75" s="49" t="s">
        <v>3</v>
      </c>
      <c r="AK75" s="50">
        <f>CORREL($B$4:$B$32,Table273031[Cereals and products])</f>
        <v>0.45538609975839106</v>
      </c>
    </row>
    <row r="76" spans="1:37" x14ac:dyDescent="0.35">
      <c r="A76" s="44">
        <v>44256</v>
      </c>
      <c r="B76" s="45">
        <v>61518.692284107237</v>
      </c>
      <c r="E76" t="s">
        <v>33</v>
      </c>
      <c r="F76">
        <v>2021</v>
      </c>
      <c r="G76" t="s">
        <v>36</v>
      </c>
      <c r="H76">
        <v>147.5</v>
      </c>
      <c r="I76">
        <v>197.5</v>
      </c>
      <c r="J76">
        <v>164.7</v>
      </c>
      <c r="K76">
        <v>155.6</v>
      </c>
      <c r="L76">
        <v>156.4</v>
      </c>
      <c r="M76">
        <v>157.30000000000001</v>
      </c>
      <c r="N76">
        <v>166.1</v>
      </c>
      <c r="O76">
        <v>161.1</v>
      </c>
      <c r="P76">
        <v>114.3</v>
      </c>
      <c r="Q76">
        <v>162.6</v>
      </c>
      <c r="R76">
        <v>150.69999999999999</v>
      </c>
      <c r="S76">
        <v>170.3</v>
      </c>
      <c r="T76">
        <v>160.4</v>
      </c>
      <c r="U76">
        <v>193.5</v>
      </c>
      <c r="V76">
        <v>155.1</v>
      </c>
      <c r="W76">
        <v>138.69999999999999</v>
      </c>
      <c r="X76">
        <v>152.6</v>
      </c>
      <c r="Y76">
        <v>159.9</v>
      </c>
      <c r="Z76">
        <v>154.80000000000001</v>
      </c>
      <c r="AA76">
        <v>147.19999999999999</v>
      </c>
      <c r="AB76">
        <v>156.9</v>
      </c>
      <c r="AC76">
        <v>141.69999999999999</v>
      </c>
      <c r="AD76">
        <v>148.6</v>
      </c>
      <c r="AE76">
        <v>157.6</v>
      </c>
      <c r="AF76">
        <v>154.9</v>
      </c>
      <c r="AG76">
        <v>150</v>
      </c>
      <c r="AH76">
        <v>156.9</v>
      </c>
      <c r="AJ76" s="49" t="s">
        <v>4</v>
      </c>
      <c r="AK76" s="50">
        <f>CORREL($B$4:$B$32,Table273031[Meat and fish])</f>
        <v>0.8045457788487097</v>
      </c>
    </row>
    <row r="77" spans="1:37" x14ac:dyDescent="0.35">
      <c r="A77" s="46">
        <v>44287</v>
      </c>
      <c r="B77" s="45">
        <v>63309.498622749867</v>
      </c>
      <c r="E77" t="s">
        <v>33</v>
      </c>
      <c r="F77">
        <v>2021</v>
      </c>
      <c r="G77" t="s">
        <v>37</v>
      </c>
      <c r="H77">
        <v>147.6</v>
      </c>
      <c r="I77">
        <v>202.5</v>
      </c>
      <c r="J77">
        <v>166.4</v>
      </c>
      <c r="K77">
        <v>156</v>
      </c>
      <c r="L77">
        <v>161.4</v>
      </c>
      <c r="M77">
        <v>168.8</v>
      </c>
      <c r="N77">
        <v>161.6</v>
      </c>
      <c r="O77">
        <v>162.80000000000001</v>
      </c>
      <c r="P77">
        <v>114.8</v>
      </c>
      <c r="Q77">
        <v>162.80000000000001</v>
      </c>
      <c r="R77">
        <v>151.5</v>
      </c>
      <c r="S77">
        <v>171.4</v>
      </c>
      <c r="T77">
        <v>162</v>
      </c>
      <c r="U77">
        <v>194.4</v>
      </c>
      <c r="V77">
        <v>155.9</v>
      </c>
      <c r="W77">
        <v>139.30000000000001</v>
      </c>
      <c r="X77">
        <v>153.4</v>
      </c>
      <c r="Y77">
        <v>161.4</v>
      </c>
      <c r="Z77">
        <v>154.9</v>
      </c>
      <c r="AA77">
        <v>147.6</v>
      </c>
      <c r="AB77">
        <v>157.5</v>
      </c>
      <c r="AC77">
        <v>142.1</v>
      </c>
      <c r="AD77">
        <v>149.1</v>
      </c>
      <c r="AE77">
        <v>157.6</v>
      </c>
      <c r="AF77">
        <v>156.6</v>
      </c>
      <c r="AG77">
        <v>150.5</v>
      </c>
      <c r="AH77">
        <v>158</v>
      </c>
      <c r="AJ77" s="49" t="s">
        <v>5</v>
      </c>
      <c r="AK77" s="50">
        <f>CORREL($B$4:$B$32,Table273031[Egg])</f>
        <v>-0.12833852563272455</v>
      </c>
    </row>
    <row r="78" spans="1:37" x14ac:dyDescent="0.35">
      <c r="A78" s="44">
        <v>44317</v>
      </c>
      <c r="B78" s="45">
        <v>60800.383481587211</v>
      </c>
      <c r="E78" t="s">
        <v>33</v>
      </c>
      <c r="F78">
        <v>2021</v>
      </c>
      <c r="G78" t="s">
        <v>38</v>
      </c>
      <c r="H78">
        <v>148.80000000000001</v>
      </c>
      <c r="I78">
        <v>204.3</v>
      </c>
      <c r="J78">
        <v>173</v>
      </c>
      <c r="K78">
        <v>156.5</v>
      </c>
      <c r="L78">
        <v>168.8</v>
      </c>
      <c r="M78">
        <v>172.5</v>
      </c>
      <c r="N78">
        <v>166.5</v>
      </c>
      <c r="O78">
        <v>165.9</v>
      </c>
      <c r="P78">
        <v>115.9</v>
      </c>
      <c r="Q78">
        <v>165.2</v>
      </c>
      <c r="R78">
        <v>152</v>
      </c>
      <c r="S78">
        <v>171.1</v>
      </c>
      <c r="T78">
        <v>164.2</v>
      </c>
      <c r="U78">
        <v>198.2</v>
      </c>
      <c r="V78">
        <v>156.5</v>
      </c>
      <c r="W78">
        <v>140.19999999999999</v>
      </c>
      <c r="X78">
        <v>154.1</v>
      </c>
      <c r="Y78">
        <v>161.6</v>
      </c>
      <c r="Z78">
        <v>155.5</v>
      </c>
      <c r="AA78">
        <v>150.1</v>
      </c>
      <c r="AB78">
        <v>160.4</v>
      </c>
      <c r="AC78">
        <v>145</v>
      </c>
      <c r="AD78">
        <v>152.6</v>
      </c>
      <c r="AE78">
        <v>156.6</v>
      </c>
      <c r="AF78">
        <v>157.5</v>
      </c>
      <c r="AG78">
        <v>152.30000000000001</v>
      </c>
      <c r="AH78">
        <v>159.5</v>
      </c>
      <c r="AJ78" s="49" t="s">
        <v>6</v>
      </c>
      <c r="AK78" s="50">
        <f>CORREL($B$4:$B$32,Table273031[Milk and products])</f>
        <v>0.5284342688088528</v>
      </c>
    </row>
    <row r="79" spans="1:37" x14ac:dyDescent="0.35">
      <c r="A79" s="46">
        <v>44348</v>
      </c>
      <c r="B79" s="45">
        <v>61073.298999169296</v>
      </c>
      <c r="E79" t="s">
        <v>33</v>
      </c>
      <c r="F79">
        <v>2021</v>
      </c>
      <c r="G79" t="s">
        <v>39</v>
      </c>
      <c r="H79">
        <v>149.19999999999999</v>
      </c>
      <c r="I79">
        <v>205.5</v>
      </c>
      <c r="J79">
        <v>182.8</v>
      </c>
      <c r="K79">
        <v>156.5</v>
      </c>
      <c r="L79">
        <v>172.2</v>
      </c>
      <c r="M79">
        <v>171.5</v>
      </c>
      <c r="N79">
        <v>176.2</v>
      </c>
      <c r="O79">
        <v>166.9</v>
      </c>
      <c r="P79">
        <v>116.1</v>
      </c>
      <c r="Q79">
        <v>165.5</v>
      </c>
      <c r="R79">
        <v>152.30000000000001</v>
      </c>
      <c r="S79">
        <v>173.3</v>
      </c>
      <c r="T79">
        <v>166.2</v>
      </c>
      <c r="U79">
        <v>195.6</v>
      </c>
      <c r="V79">
        <v>157.30000000000001</v>
      </c>
      <c r="W79">
        <v>140.5</v>
      </c>
      <c r="X79">
        <v>154.80000000000001</v>
      </c>
      <c r="Y79">
        <v>160.5</v>
      </c>
      <c r="Z79">
        <v>156.1</v>
      </c>
      <c r="AA79">
        <v>149.80000000000001</v>
      </c>
      <c r="AB79">
        <v>160.80000000000001</v>
      </c>
      <c r="AC79">
        <v>147.5</v>
      </c>
      <c r="AD79">
        <v>150.69999999999999</v>
      </c>
      <c r="AE79">
        <v>158.1</v>
      </c>
      <c r="AF79">
        <v>158</v>
      </c>
      <c r="AG79">
        <v>153.4</v>
      </c>
      <c r="AH79">
        <v>160.4</v>
      </c>
      <c r="AJ79" s="49" t="s">
        <v>7</v>
      </c>
      <c r="AK79" s="50">
        <f>CORREL($B$4:$B$32,Table273031[Oils and fats])</f>
        <v>0.80187485253185664</v>
      </c>
    </row>
    <row r="80" spans="1:37" x14ac:dyDescent="0.35">
      <c r="A80" s="44">
        <v>44378</v>
      </c>
      <c r="B80" s="45">
        <v>59460.950438057756</v>
      </c>
      <c r="E80" t="s">
        <v>33</v>
      </c>
      <c r="F80">
        <v>2021</v>
      </c>
      <c r="G80" t="s">
        <v>40</v>
      </c>
      <c r="H80">
        <v>149.1</v>
      </c>
      <c r="I80">
        <v>210.9</v>
      </c>
      <c r="J80">
        <v>185</v>
      </c>
      <c r="K80">
        <v>158.19999999999999</v>
      </c>
      <c r="L80">
        <v>170.6</v>
      </c>
      <c r="M80">
        <v>170.9</v>
      </c>
      <c r="N80">
        <v>186.4</v>
      </c>
      <c r="O80">
        <v>164.7</v>
      </c>
      <c r="P80">
        <v>115.7</v>
      </c>
      <c r="Q80">
        <v>165.5</v>
      </c>
      <c r="R80">
        <v>153.4</v>
      </c>
      <c r="S80">
        <v>173.5</v>
      </c>
      <c r="T80">
        <v>167.9</v>
      </c>
      <c r="U80">
        <v>195.5</v>
      </c>
      <c r="V80">
        <v>157.9</v>
      </c>
      <c r="W80">
        <v>141.9</v>
      </c>
      <c r="X80">
        <v>155.5</v>
      </c>
      <c r="Y80">
        <v>161.5</v>
      </c>
      <c r="Z80">
        <v>157.69999999999999</v>
      </c>
      <c r="AA80">
        <v>150.69999999999999</v>
      </c>
      <c r="AB80">
        <v>161.5</v>
      </c>
      <c r="AC80">
        <v>149.5</v>
      </c>
      <c r="AD80">
        <v>151.19999999999999</v>
      </c>
      <c r="AE80">
        <v>160.30000000000001</v>
      </c>
      <c r="AF80">
        <v>159.6</v>
      </c>
      <c r="AG80">
        <v>155</v>
      </c>
      <c r="AH80">
        <v>161.80000000000001</v>
      </c>
      <c r="AJ80" s="49" t="s">
        <v>8</v>
      </c>
      <c r="AK80" s="50">
        <f>CORREL($B$4:$B$32,Table273031[Fruits])</f>
        <v>0.47642703323343649</v>
      </c>
    </row>
    <row r="81" spans="1:37" x14ac:dyDescent="0.35">
      <c r="A81" s="46">
        <v>44409</v>
      </c>
      <c r="B81" s="45">
        <v>67310.659830633638</v>
      </c>
      <c r="E81" t="s">
        <v>33</v>
      </c>
      <c r="F81">
        <v>2021</v>
      </c>
      <c r="G81" t="s">
        <v>41</v>
      </c>
      <c r="H81">
        <v>149.30000000000001</v>
      </c>
      <c r="I81">
        <v>207.4</v>
      </c>
      <c r="J81">
        <v>174.1</v>
      </c>
      <c r="K81">
        <v>159.19999999999999</v>
      </c>
      <c r="L81">
        <v>175</v>
      </c>
      <c r="M81">
        <v>161.30000000000001</v>
      </c>
      <c r="N81">
        <v>183.3</v>
      </c>
      <c r="O81">
        <v>164.5</v>
      </c>
      <c r="P81">
        <v>120.4</v>
      </c>
      <c r="Q81">
        <v>166.2</v>
      </c>
      <c r="R81">
        <v>154.80000000000001</v>
      </c>
      <c r="S81">
        <v>175.1</v>
      </c>
      <c r="T81">
        <v>167.3</v>
      </c>
      <c r="U81">
        <v>196.5</v>
      </c>
      <c r="V81">
        <v>159.80000000000001</v>
      </c>
      <c r="W81">
        <v>143.6</v>
      </c>
      <c r="X81">
        <v>157.30000000000001</v>
      </c>
      <c r="Y81">
        <v>162.1</v>
      </c>
      <c r="Z81">
        <v>160.69999999999999</v>
      </c>
      <c r="AA81">
        <v>153.19999999999999</v>
      </c>
      <c r="AB81">
        <v>162.80000000000001</v>
      </c>
      <c r="AC81">
        <v>150.4</v>
      </c>
      <c r="AD81">
        <v>153.69999999999999</v>
      </c>
      <c r="AE81">
        <v>160.4</v>
      </c>
      <c r="AF81">
        <v>159.6</v>
      </c>
      <c r="AG81">
        <v>156</v>
      </c>
      <c r="AH81">
        <v>162.30000000000001</v>
      </c>
      <c r="AJ81" s="49" t="s">
        <v>9</v>
      </c>
      <c r="AK81" s="50">
        <f>CORREL($B$4:$B$32,Table273031[Vegetables])</f>
        <v>0.39180689360902327</v>
      </c>
    </row>
    <row r="82" spans="1:37" x14ac:dyDescent="0.35">
      <c r="A82" s="44">
        <v>44440</v>
      </c>
      <c r="B82" s="45">
        <v>69109.876194440018</v>
      </c>
      <c r="E82" t="s">
        <v>33</v>
      </c>
      <c r="F82">
        <v>2021</v>
      </c>
      <c r="G82" t="s">
        <v>42</v>
      </c>
      <c r="H82">
        <v>149.30000000000001</v>
      </c>
      <c r="I82">
        <v>207.4</v>
      </c>
      <c r="J82">
        <v>174.1</v>
      </c>
      <c r="K82">
        <v>159.1</v>
      </c>
      <c r="L82">
        <v>175</v>
      </c>
      <c r="M82">
        <v>161.19999999999999</v>
      </c>
      <c r="N82">
        <v>183.5</v>
      </c>
      <c r="O82">
        <v>164.5</v>
      </c>
      <c r="P82">
        <v>120.4</v>
      </c>
      <c r="Q82">
        <v>166.2</v>
      </c>
      <c r="R82">
        <v>154.80000000000001</v>
      </c>
      <c r="S82">
        <v>175.1</v>
      </c>
      <c r="T82">
        <v>167.3</v>
      </c>
      <c r="U82">
        <v>196.5</v>
      </c>
      <c r="V82">
        <v>159.80000000000001</v>
      </c>
      <c r="W82">
        <v>143.6</v>
      </c>
      <c r="X82">
        <v>157.4</v>
      </c>
      <c r="Y82">
        <v>162.1</v>
      </c>
      <c r="Z82">
        <v>160.80000000000001</v>
      </c>
      <c r="AA82">
        <v>153.30000000000001</v>
      </c>
      <c r="AB82">
        <v>162.80000000000001</v>
      </c>
      <c r="AC82">
        <v>150.5</v>
      </c>
      <c r="AD82">
        <v>153.9</v>
      </c>
      <c r="AE82">
        <v>160.30000000000001</v>
      </c>
      <c r="AF82">
        <v>159.6</v>
      </c>
      <c r="AG82">
        <v>156</v>
      </c>
      <c r="AH82">
        <v>162.30000000000001</v>
      </c>
      <c r="AJ82" s="49" t="s">
        <v>10</v>
      </c>
      <c r="AK82" s="50">
        <f>CORREL($B$4:$B$32,Table273031[Pulses and products])</f>
        <v>0.20815438829385743</v>
      </c>
    </row>
    <row r="83" spans="1:37" x14ac:dyDescent="0.35">
      <c r="A83" s="46">
        <v>44470</v>
      </c>
      <c r="B83" s="45">
        <v>72054.19693085934</v>
      </c>
      <c r="E83" t="s">
        <v>33</v>
      </c>
      <c r="F83">
        <v>2021</v>
      </c>
      <c r="G83" t="s">
        <v>43</v>
      </c>
      <c r="H83">
        <v>150.1</v>
      </c>
      <c r="I83">
        <v>208.4</v>
      </c>
      <c r="J83">
        <v>173</v>
      </c>
      <c r="K83">
        <v>159.19999999999999</v>
      </c>
      <c r="L83">
        <v>176.6</v>
      </c>
      <c r="M83">
        <v>159.30000000000001</v>
      </c>
      <c r="N83">
        <v>214.4</v>
      </c>
      <c r="O83">
        <v>165.3</v>
      </c>
      <c r="P83">
        <v>122.5</v>
      </c>
      <c r="Q83">
        <v>166.8</v>
      </c>
      <c r="R83">
        <v>155.4</v>
      </c>
      <c r="S83">
        <v>175.9</v>
      </c>
      <c r="T83">
        <v>171.5</v>
      </c>
      <c r="U83">
        <v>197</v>
      </c>
      <c r="V83">
        <v>160.80000000000001</v>
      </c>
      <c r="W83">
        <v>144.4</v>
      </c>
      <c r="X83">
        <v>158.30000000000001</v>
      </c>
      <c r="Y83">
        <v>163.6</v>
      </c>
      <c r="Z83">
        <v>162.19999999999999</v>
      </c>
      <c r="AA83">
        <v>154.30000000000001</v>
      </c>
      <c r="AB83">
        <v>163.5</v>
      </c>
      <c r="AC83">
        <v>152.19999999999999</v>
      </c>
      <c r="AD83">
        <v>155.1</v>
      </c>
      <c r="AE83">
        <v>160.30000000000001</v>
      </c>
      <c r="AF83">
        <v>160.30000000000001</v>
      </c>
      <c r="AG83">
        <v>157</v>
      </c>
      <c r="AH83">
        <v>164.6</v>
      </c>
      <c r="AJ83" s="49" t="s">
        <v>11</v>
      </c>
      <c r="AK83" s="50">
        <f>CORREL($B$4:$B$32,Table273031[Sugar and Confectionery])</f>
        <v>0.63052410879840137</v>
      </c>
    </row>
    <row r="84" spans="1:37" x14ac:dyDescent="0.35">
      <c r="A84" s="44">
        <v>44501</v>
      </c>
      <c r="B84" s="45">
        <v>79009.388695268004</v>
      </c>
      <c r="E84" t="s">
        <v>33</v>
      </c>
      <c r="F84">
        <v>2021</v>
      </c>
      <c r="G84" t="s">
        <v>45</v>
      </c>
      <c r="H84">
        <v>151</v>
      </c>
      <c r="I84">
        <v>204.9</v>
      </c>
      <c r="J84">
        <v>175.4</v>
      </c>
      <c r="K84">
        <v>159.6</v>
      </c>
      <c r="L84">
        <v>175.8</v>
      </c>
      <c r="M84">
        <v>160.30000000000001</v>
      </c>
      <c r="N84">
        <v>229.1</v>
      </c>
      <c r="O84">
        <v>165.1</v>
      </c>
      <c r="P84">
        <v>123.1</v>
      </c>
      <c r="Q84">
        <v>167.2</v>
      </c>
      <c r="R84">
        <v>156.1</v>
      </c>
      <c r="S84">
        <v>176.8</v>
      </c>
      <c r="T84">
        <v>173.5</v>
      </c>
      <c r="U84">
        <v>197</v>
      </c>
      <c r="V84">
        <v>162.30000000000001</v>
      </c>
      <c r="W84">
        <v>145.30000000000001</v>
      </c>
      <c r="X84">
        <v>159.69999999999999</v>
      </c>
      <c r="Y84">
        <v>164.2</v>
      </c>
      <c r="Z84">
        <v>161.6</v>
      </c>
      <c r="AA84">
        <v>155.19999999999999</v>
      </c>
      <c r="AB84">
        <v>164.2</v>
      </c>
      <c r="AC84">
        <v>151.19999999999999</v>
      </c>
      <c r="AD84">
        <v>156.69999999999999</v>
      </c>
      <c r="AE84">
        <v>160.80000000000001</v>
      </c>
      <c r="AF84">
        <v>161.80000000000001</v>
      </c>
      <c r="AG84">
        <v>157.30000000000001</v>
      </c>
      <c r="AH84">
        <v>165.6</v>
      </c>
      <c r="AJ84" s="49" t="s">
        <v>12</v>
      </c>
      <c r="AK84" s="50">
        <f>CORREL($B$4:$B$32,Table273031[Spices])</f>
        <v>0.51883963801221433</v>
      </c>
    </row>
    <row r="85" spans="1:37" x14ac:dyDescent="0.35">
      <c r="A85" s="46">
        <v>44531</v>
      </c>
      <c r="B85" s="45">
        <v>81771.141778992853</v>
      </c>
      <c r="E85" t="s">
        <v>33</v>
      </c>
      <c r="F85">
        <v>2021</v>
      </c>
      <c r="G85" t="s">
        <v>46</v>
      </c>
      <c r="H85">
        <v>151.6</v>
      </c>
      <c r="I85">
        <v>202.2</v>
      </c>
      <c r="J85">
        <v>180</v>
      </c>
      <c r="K85">
        <v>160</v>
      </c>
      <c r="L85">
        <v>173.5</v>
      </c>
      <c r="M85">
        <v>158.30000000000001</v>
      </c>
      <c r="N85">
        <v>219.5</v>
      </c>
      <c r="O85">
        <v>164.2</v>
      </c>
      <c r="P85">
        <v>121.9</v>
      </c>
      <c r="Q85">
        <v>168.2</v>
      </c>
      <c r="R85">
        <v>156.5</v>
      </c>
      <c r="S85">
        <v>178.2</v>
      </c>
      <c r="T85">
        <v>172.2</v>
      </c>
      <c r="U85">
        <v>196.8</v>
      </c>
      <c r="V85">
        <v>163.30000000000001</v>
      </c>
      <c r="W85">
        <v>146.69999999999999</v>
      </c>
      <c r="X85">
        <v>160.69999999999999</v>
      </c>
      <c r="Y85">
        <v>163.4</v>
      </c>
      <c r="Z85">
        <v>161.69999999999999</v>
      </c>
      <c r="AA85">
        <v>156</v>
      </c>
      <c r="AB85">
        <v>165.1</v>
      </c>
      <c r="AC85">
        <v>151.80000000000001</v>
      </c>
      <c r="AD85">
        <v>157.6</v>
      </c>
      <c r="AE85">
        <v>160.6</v>
      </c>
      <c r="AF85">
        <v>162.4</v>
      </c>
      <c r="AG85">
        <v>157.80000000000001</v>
      </c>
      <c r="AH85">
        <v>165.2</v>
      </c>
      <c r="AJ85" s="49" t="s">
        <v>13</v>
      </c>
      <c r="AK85" s="50">
        <f>CORREL($B$4:$B$32,Table273031[Non-alcoholic beverages])</f>
        <v>0.6153907046364927</v>
      </c>
    </row>
    <row r="86" spans="1:37" x14ac:dyDescent="0.35">
      <c r="A86" s="44">
        <v>44562</v>
      </c>
      <c r="B86" s="45">
        <v>86692.515382787504</v>
      </c>
      <c r="E86" t="s">
        <v>33</v>
      </c>
      <c r="F86">
        <v>2022</v>
      </c>
      <c r="G86" t="s">
        <v>31</v>
      </c>
      <c r="H86">
        <v>152.19999999999999</v>
      </c>
      <c r="I86">
        <v>202.1</v>
      </c>
      <c r="J86">
        <v>180.1</v>
      </c>
      <c r="K86">
        <v>160.4</v>
      </c>
      <c r="L86">
        <v>171</v>
      </c>
      <c r="M86">
        <v>156.5</v>
      </c>
      <c r="N86">
        <v>203.6</v>
      </c>
      <c r="O86">
        <v>163.80000000000001</v>
      </c>
      <c r="P86">
        <v>121.3</v>
      </c>
      <c r="Q86">
        <v>169.8</v>
      </c>
      <c r="R86">
        <v>156.6</v>
      </c>
      <c r="S86">
        <v>179</v>
      </c>
      <c r="T86">
        <v>170.3</v>
      </c>
      <c r="U86">
        <v>196.4</v>
      </c>
      <c r="V86">
        <v>164.7</v>
      </c>
      <c r="W86">
        <v>148.5</v>
      </c>
      <c r="X86">
        <v>162.19999999999999</v>
      </c>
      <c r="Y86">
        <v>164.5</v>
      </c>
      <c r="Z86">
        <v>161.6</v>
      </c>
      <c r="AA86">
        <v>156.80000000000001</v>
      </c>
      <c r="AB86">
        <v>166.1</v>
      </c>
      <c r="AC86">
        <v>152.69999999999999</v>
      </c>
      <c r="AD86">
        <v>158.4</v>
      </c>
      <c r="AE86">
        <v>161</v>
      </c>
      <c r="AF86">
        <v>162.80000000000001</v>
      </c>
      <c r="AG86">
        <v>158.6</v>
      </c>
      <c r="AH86">
        <v>165</v>
      </c>
      <c r="AJ86" s="49" t="s">
        <v>14</v>
      </c>
      <c r="AK86" s="50">
        <f>CORREL($B$4:$B$32,Table273031[Prepared meals, snacks, sweets etc.])</f>
        <v>0.63429072721532864</v>
      </c>
    </row>
    <row r="87" spans="1:37" x14ac:dyDescent="0.35">
      <c r="A87" s="46">
        <v>44593</v>
      </c>
      <c r="B87" s="45">
        <v>87441.416368947481</v>
      </c>
      <c r="E87" t="s">
        <v>33</v>
      </c>
      <c r="F87">
        <v>2022</v>
      </c>
      <c r="G87" t="s">
        <v>35</v>
      </c>
      <c r="H87">
        <v>152.5</v>
      </c>
      <c r="I87">
        <v>205.2</v>
      </c>
      <c r="J87">
        <v>176.4</v>
      </c>
      <c r="K87">
        <v>160.6</v>
      </c>
      <c r="L87">
        <v>171.5</v>
      </c>
      <c r="M87">
        <v>156.4</v>
      </c>
      <c r="N87">
        <v>198</v>
      </c>
      <c r="O87">
        <v>163.19999999999999</v>
      </c>
      <c r="P87">
        <v>120.6</v>
      </c>
      <c r="Q87">
        <v>172.2</v>
      </c>
      <c r="R87">
        <v>156.69999999999999</v>
      </c>
      <c r="S87">
        <v>180</v>
      </c>
      <c r="T87">
        <v>170.2</v>
      </c>
      <c r="U87">
        <v>196.5</v>
      </c>
      <c r="V87">
        <v>165.7</v>
      </c>
      <c r="W87">
        <v>150.4</v>
      </c>
      <c r="X87">
        <v>163.4</v>
      </c>
      <c r="Y87">
        <v>165.5</v>
      </c>
      <c r="Z87">
        <v>163</v>
      </c>
      <c r="AA87">
        <v>157.4</v>
      </c>
      <c r="AB87">
        <v>167.2</v>
      </c>
      <c r="AC87">
        <v>153.1</v>
      </c>
      <c r="AD87">
        <v>159.5</v>
      </c>
      <c r="AE87">
        <v>162</v>
      </c>
      <c r="AF87">
        <v>164.2</v>
      </c>
      <c r="AG87">
        <v>159.4</v>
      </c>
      <c r="AH87">
        <v>165.5</v>
      </c>
      <c r="AJ87" s="49" t="s">
        <v>15</v>
      </c>
      <c r="AK87" s="50">
        <f>CORREL($B$4:$B$32,Table273031[Food and beverages])</f>
        <v>0.72163561745751315</v>
      </c>
    </row>
    <row r="88" spans="1:37" x14ac:dyDescent="0.35">
      <c r="A88" s="44">
        <v>44621</v>
      </c>
      <c r="B88" s="45">
        <v>113228.86524779514</v>
      </c>
      <c r="E88" t="s">
        <v>33</v>
      </c>
      <c r="F88">
        <v>2022</v>
      </c>
      <c r="G88" t="s">
        <v>36</v>
      </c>
      <c r="H88">
        <v>153.69999999999999</v>
      </c>
      <c r="I88">
        <v>215.8</v>
      </c>
      <c r="J88">
        <v>167.7</v>
      </c>
      <c r="K88">
        <v>162.6</v>
      </c>
      <c r="L88">
        <v>180</v>
      </c>
      <c r="M88">
        <v>159.6</v>
      </c>
      <c r="N88">
        <v>188.4</v>
      </c>
      <c r="O88">
        <v>163.4</v>
      </c>
      <c r="P88">
        <v>120.3</v>
      </c>
      <c r="Q88">
        <v>174.7</v>
      </c>
      <c r="R88">
        <v>157.1</v>
      </c>
      <c r="S88">
        <v>181.5</v>
      </c>
      <c r="T88">
        <v>171.5</v>
      </c>
      <c r="U88">
        <v>197.5</v>
      </c>
      <c r="V88">
        <v>167.1</v>
      </c>
      <c r="W88">
        <v>152.6</v>
      </c>
      <c r="X88">
        <v>164.9</v>
      </c>
      <c r="Y88">
        <v>165.3</v>
      </c>
      <c r="Z88">
        <v>164.5</v>
      </c>
      <c r="AA88">
        <v>158.6</v>
      </c>
      <c r="AB88">
        <v>168.2</v>
      </c>
      <c r="AC88">
        <v>154.19999999999999</v>
      </c>
      <c r="AD88">
        <v>160.80000000000001</v>
      </c>
      <c r="AE88">
        <v>162.69999999999999</v>
      </c>
      <c r="AF88">
        <v>166.8</v>
      </c>
      <c r="AG88">
        <v>160.6</v>
      </c>
      <c r="AH88">
        <v>166.5</v>
      </c>
      <c r="AJ88" s="49" t="s">
        <v>16</v>
      </c>
      <c r="AK88" s="50">
        <f>CORREL($B$4:$B$32,Table273031[Pan, tobacco and intoxicants])</f>
        <v>0.46541929009830146</v>
      </c>
    </row>
    <row r="89" spans="1:37" x14ac:dyDescent="0.35">
      <c r="A89" s="46">
        <v>44652</v>
      </c>
      <c r="B89" s="45">
        <v>128800.06584155018</v>
      </c>
      <c r="E89" t="s">
        <v>33</v>
      </c>
      <c r="F89">
        <v>2022</v>
      </c>
      <c r="G89" t="s">
        <v>37</v>
      </c>
      <c r="H89">
        <v>155.4</v>
      </c>
      <c r="I89">
        <v>215.8</v>
      </c>
      <c r="J89">
        <v>164.6</v>
      </c>
      <c r="K89">
        <v>164.2</v>
      </c>
      <c r="L89">
        <v>186</v>
      </c>
      <c r="M89">
        <v>175.9</v>
      </c>
      <c r="N89">
        <v>190.7</v>
      </c>
      <c r="O89">
        <v>164</v>
      </c>
      <c r="P89">
        <v>120.5</v>
      </c>
      <c r="Q89">
        <v>178</v>
      </c>
      <c r="R89">
        <v>157.5</v>
      </c>
      <c r="S89">
        <v>183.3</v>
      </c>
      <c r="T89">
        <v>174.5</v>
      </c>
      <c r="U89">
        <v>197.1</v>
      </c>
      <c r="V89">
        <v>168.4</v>
      </c>
      <c r="W89">
        <v>154.5</v>
      </c>
      <c r="X89">
        <v>166.3</v>
      </c>
      <c r="Y89">
        <v>167</v>
      </c>
      <c r="Z89">
        <v>170.5</v>
      </c>
      <c r="AA89">
        <v>159.80000000000001</v>
      </c>
      <c r="AB89">
        <v>169</v>
      </c>
      <c r="AC89">
        <v>159.30000000000001</v>
      </c>
      <c r="AD89">
        <v>162.19999999999999</v>
      </c>
      <c r="AE89">
        <v>164</v>
      </c>
      <c r="AF89">
        <v>168.4</v>
      </c>
      <c r="AG89">
        <v>163.1</v>
      </c>
      <c r="AH89">
        <v>169.2</v>
      </c>
      <c r="AJ89" s="49" t="s">
        <v>17</v>
      </c>
      <c r="AK89" s="50">
        <f>CORREL($B$4:$B$32,Table273031[Clothing])</f>
        <v>0.66354626031960373</v>
      </c>
    </row>
    <row r="90" spans="1:37" x14ac:dyDescent="0.35">
      <c r="A90" s="44">
        <v>44682</v>
      </c>
      <c r="B90" s="45">
        <v>119633.62181054099</v>
      </c>
      <c r="E90" t="s">
        <v>33</v>
      </c>
      <c r="F90">
        <v>2022</v>
      </c>
      <c r="G90" t="s">
        <v>38</v>
      </c>
      <c r="H90">
        <v>156.69999999999999</v>
      </c>
      <c r="I90">
        <v>221.2</v>
      </c>
      <c r="J90">
        <v>164.1</v>
      </c>
      <c r="K90">
        <v>165.4</v>
      </c>
      <c r="L90">
        <v>189.5</v>
      </c>
      <c r="M90">
        <v>174.5</v>
      </c>
      <c r="N90">
        <v>203.2</v>
      </c>
      <c r="O90">
        <v>164.1</v>
      </c>
      <c r="P90">
        <v>121.2</v>
      </c>
      <c r="Q90">
        <v>181.4</v>
      </c>
      <c r="R90">
        <v>158.5</v>
      </c>
      <c r="S90">
        <v>184.9</v>
      </c>
      <c r="T90">
        <v>177.5</v>
      </c>
      <c r="U90">
        <v>197.5</v>
      </c>
      <c r="V90">
        <v>170</v>
      </c>
      <c r="W90">
        <v>155.9</v>
      </c>
      <c r="X90">
        <v>167.8</v>
      </c>
      <c r="Y90">
        <v>167.5</v>
      </c>
      <c r="Z90">
        <v>173.5</v>
      </c>
      <c r="AA90">
        <v>161.1</v>
      </c>
      <c r="AB90">
        <v>170.1</v>
      </c>
      <c r="AC90">
        <v>159.4</v>
      </c>
      <c r="AD90">
        <v>163.19999999999999</v>
      </c>
      <c r="AE90">
        <v>165.2</v>
      </c>
      <c r="AF90">
        <v>168.2</v>
      </c>
      <c r="AG90">
        <v>163.80000000000001</v>
      </c>
      <c r="AH90">
        <v>170.8</v>
      </c>
      <c r="AJ90" s="49" t="s">
        <v>18</v>
      </c>
      <c r="AK90" s="50">
        <f>CORREL($B$4:$B$32,Table273031[Footwear])</f>
        <v>0.67083005998541601</v>
      </c>
    </row>
    <row r="91" spans="1:37" x14ac:dyDescent="0.35">
      <c r="A91" s="46">
        <v>44713</v>
      </c>
      <c r="B91" s="45">
        <v>121897.63969956485</v>
      </c>
      <c r="E91" t="s">
        <v>33</v>
      </c>
      <c r="F91">
        <v>2022</v>
      </c>
      <c r="G91" t="s">
        <v>39</v>
      </c>
      <c r="H91">
        <v>157.5</v>
      </c>
      <c r="I91">
        <v>223.4</v>
      </c>
      <c r="J91">
        <v>172.8</v>
      </c>
      <c r="K91">
        <v>166.4</v>
      </c>
      <c r="L91">
        <v>188.6</v>
      </c>
      <c r="M91">
        <v>174.1</v>
      </c>
      <c r="N91">
        <v>211.5</v>
      </c>
      <c r="O91">
        <v>163.6</v>
      </c>
      <c r="P91">
        <v>121.4</v>
      </c>
      <c r="Q91">
        <v>183.5</v>
      </c>
      <c r="R91">
        <v>159.1</v>
      </c>
      <c r="S91">
        <v>186.3</v>
      </c>
      <c r="T91">
        <v>179.3</v>
      </c>
      <c r="U91">
        <v>198.3</v>
      </c>
      <c r="V91">
        <v>171.6</v>
      </c>
      <c r="W91">
        <v>157.4</v>
      </c>
      <c r="X91">
        <v>169.4</v>
      </c>
      <c r="Y91">
        <v>166.8</v>
      </c>
      <c r="Z91">
        <v>174.9</v>
      </c>
      <c r="AA91">
        <v>162.1</v>
      </c>
      <c r="AB91">
        <v>170.9</v>
      </c>
      <c r="AC91">
        <v>157.19999999999999</v>
      </c>
      <c r="AD91">
        <v>164.1</v>
      </c>
      <c r="AE91">
        <v>166.5</v>
      </c>
      <c r="AF91">
        <v>169.2</v>
      </c>
      <c r="AG91">
        <v>163.80000000000001</v>
      </c>
      <c r="AH91">
        <v>171.4</v>
      </c>
      <c r="AJ91" s="49" t="s">
        <v>19</v>
      </c>
      <c r="AK91" s="50">
        <f>CORREL($B$4:$B$32,Table273031[Clothing and footwear])</f>
        <v>0.66487146299807087</v>
      </c>
    </row>
    <row r="92" spans="1:37" x14ac:dyDescent="0.35">
      <c r="A92" s="44">
        <v>44743</v>
      </c>
      <c r="B92" s="45">
        <v>128755.46490262874</v>
      </c>
      <c r="E92" t="s">
        <v>33</v>
      </c>
      <c r="F92">
        <v>2022</v>
      </c>
      <c r="G92" t="s">
        <v>40</v>
      </c>
      <c r="H92">
        <v>159.30000000000001</v>
      </c>
      <c r="I92">
        <v>217.1</v>
      </c>
      <c r="J92">
        <v>176.6</v>
      </c>
      <c r="K92">
        <v>167.1</v>
      </c>
      <c r="L92">
        <v>184.8</v>
      </c>
      <c r="M92">
        <v>179.5</v>
      </c>
      <c r="N92">
        <v>208.5</v>
      </c>
      <c r="O92">
        <v>164</v>
      </c>
      <c r="P92">
        <v>121.5</v>
      </c>
      <c r="Q92">
        <v>186.3</v>
      </c>
      <c r="R92">
        <v>159.80000000000001</v>
      </c>
      <c r="S92">
        <v>187.7</v>
      </c>
      <c r="T92">
        <v>179.4</v>
      </c>
      <c r="U92">
        <v>198.6</v>
      </c>
      <c r="V92">
        <v>172.7</v>
      </c>
      <c r="W92">
        <v>158.69999999999999</v>
      </c>
      <c r="X92">
        <v>170.6</v>
      </c>
      <c r="Y92">
        <v>167.8</v>
      </c>
      <c r="Z92">
        <v>179.5</v>
      </c>
      <c r="AA92">
        <v>163.1</v>
      </c>
      <c r="AB92">
        <v>171.7</v>
      </c>
      <c r="AC92">
        <v>157.4</v>
      </c>
      <c r="AD92">
        <v>164.6</v>
      </c>
      <c r="AE92">
        <v>169.1</v>
      </c>
      <c r="AF92">
        <v>169.8</v>
      </c>
      <c r="AG92">
        <v>164.7</v>
      </c>
      <c r="AH92">
        <v>172.3</v>
      </c>
      <c r="AJ92" s="49" t="s">
        <v>20</v>
      </c>
      <c r="AK92" s="50">
        <f>CORREL($B$4:$B$32,Table273031[Housing])</f>
        <v>0.58648079304588541</v>
      </c>
    </row>
    <row r="93" spans="1:37" x14ac:dyDescent="0.35">
      <c r="A93" s="46">
        <v>44774</v>
      </c>
      <c r="B93" s="45">
        <v>104567.31614182114</v>
      </c>
      <c r="E93" t="s">
        <v>33</v>
      </c>
      <c r="F93">
        <v>2022</v>
      </c>
      <c r="G93" t="s">
        <v>41</v>
      </c>
      <c r="H93">
        <v>162.1</v>
      </c>
      <c r="I93">
        <v>210.9</v>
      </c>
      <c r="J93">
        <v>170.6</v>
      </c>
      <c r="K93">
        <v>168.4</v>
      </c>
      <c r="L93">
        <v>182.5</v>
      </c>
      <c r="M93">
        <v>177.1</v>
      </c>
      <c r="N93">
        <v>213.1</v>
      </c>
      <c r="O93">
        <v>167.3</v>
      </c>
      <c r="P93">
        <v>122.2</v>
      </c>
      <c r="Q93">
        <v>189.7</v>
      </c>
      <c r="R93">
        <v>160.5</v>
      </c>
      <c r="S93">
        <v>188.9</v>
      </c>
      <c r="T93">
        <v>180.4</v>
      </c>
      <c r="U93">
        <v>198.7</v>
      </c>
      <c r="V93">
        <v>173.7</v>
      </c>
      <c r="W93">
        <v>160</v>
      </c>
      <c r="X93">
        <v>171.6</v>
      </c>
      <c r="Y93">
        <v>169</v>
      </c>
      <c r="Z93">
        <v>178.4</v>
      </c>
      <c r="AA93">
        <v>164.2</v>
      </c>
      <c r="AB93">
        <v>172.6</v>
      </c>
      <c r="AC93">
        <v>157.69999999999999</v>
      </c>
      <c r="AD93">
        <v>165.1</v>
      </c>
      <c r="AE93">
        <v>169.9</v>
      </c>
      <c r="AF93">
        <v>171.4</v>
      </c>
      <c r="AG93">
        <v>165.4</v>
      </c>
      <c r="AH93">
        <v>173.1</v>
      </c>
      <c r="AJ93" s="49" t="s">
        <v>21</v>
      </c>
      <c r="AK93" s="50">
        <f>CORREL($B$4:$B$32,Table273031[Fuel and light])</f>
        <v>0.70302993210789277</v>
      </c>
    </row>
    <row r="94" spans="1:37" x14ac:dyDescent="0.35">
      <c r="A94" s="44">
        <v>44805</v>
      </c>
      <c r="B94" s="45">
        <v>95157.741525290738</v>
      </c>
      <c r="E94" t="s">
        <v>33</v>
      </c>
      <c r="F94">
        <v>2022</v>
      </c>
      <c r="G94" t="s">
        <v>42</v>
      </c>
      <c r="H94">
        <v>164.9</v>
      </c>
      <c r="I94">
        <v>213.7</v>
      </c>
      <c r="J94">
        <v>170.9</v>
      </c>
      <c r="K94">
        <v>170.1</v>
      </c>
      <c r="L94">
        <v>179.3</v>
      </c>
      <c r="M94">
        <v>167.5</v>
      </c>
      <c r="N94">
        <v>220.8</v>
      </c>
      <c r="O94">
        <v>169.2</v>
      </c>
      <c r="P94">
        <v>123.1</v>
      </c>
      <c r="Q94">
        <v>193.6</v>
      </c>
      <c r="R94">
        <v>161.1</v>
      </c>
      <c r="S94">
        <v>190.4</v>
      </c>
      <c r="T94">
        <v>181.8</v>
      </c>
      <c r="U94">
        <v>199.7</v>
      </c>
      <c r="V94">
        <v>175</v>
      </c>
      <c r="W94">
        <v>161.69999999999999</v>
      </c>
      <c r="X94">
        <v>173</v>
      </c>
      <c r="Y94">
        <v>169.5</v>
      </c>
      <c r="Z94">
        <v>179.2</v>
      </c>
      <c r="AA94">
        <v>165</v>
      </c>
      <c r="AB94">
        <v>173.8</v>
      </c>
      <c r="AC94">
        <v>158.19999999999999</v>
      </c>
      <c r="AD94">
        <v>165.8</v>
      </c>
      <c r="AE94">
        <v>170.9</v>
      </c>
      <c r="AF94">
        <v>171.1</v>
      </c>
      <c r="AG94">
        <v>166.1</v>
      </c>
      <c r="AH94">
        <v>174.1</v>
      </c>
      <c r="AJ94" s="49" t="s">
        <v>22</v>
      </c>
      <c r="AK94" s="50">
        <f>CORREL($B$4:$B$32,Table273031[Household goods and services])</f>
        <v>0.67570433777840666</v>
      </c>
    </row>
    <row r="95" spans="1:37" x14ac:dyDescent="0.35">
      <c r="A95" s="46">
        <v>44835</v>
      </c>
      <c r="B95" s="45">
        <v>99194.385511237808</v>
      </c>
      <c r="E95" t="s">
        <v>33</v>
      </c>
      <c r="F95">
        <v>2022</v>
      </c>
      <c r="G95" t="s">
        <v>43</v>
      </c>
      <c r="H95">
        <v>166.4</v>
      </c>
      <c r="I95">
        <v>214.9</v>
      </c>
      <c r="J95">
        <v>171.9</v>
      </c>
      <c r="K95">
        <v>171</v>
      </c>
      <c r="L95">
        <v>177.7</v>
      </c>
      <c r="M95">
        <v>165.7</v>
      </c>
      <c r="N95">
        <v>228.6</v>
      </c>
      <c r="O95">
        <v>169.9</v>
      </c>
      <c r="P95">
        <v>123.4</v>
      </c>
      <c r="Q95">
        <v>196.4</v>
      </c>
      <c r="R95">
        <v>161.6</v>
      </c>
      <c r="S95">
        <v>191.5</v>
      </c>
      <c r="T95">
        <v>183.3</v>
      </c>
      <c r="U95">
        <v>200.1</v>
      </c>
      <c r="V95">
        <v>175.5</v>
      </c>
      <c r="W95">
        <v>162.6</v>
      </c>
      <c r="X95">
        <v>173.6</v>
      </c>
      <c r="Y95">
        <v>171.2</v>
      </c>
      <c r="Z95">
        <v>180</v>
      </c>
      <c r="AA95">
        <v>166</v>
      </c>
      <c r="AB95">
        <v>174.7</v>
      </c>
      <c r="AC95">
        <v>158.80000000000001</v>
      </c>
      <c r="AD95">
        <v>166.3</v>
      </c>
      <c r="AE95">
        <v>171.2</v>
      </c>
      <c r="AF95">
        <v>172.3</v>
      </c>
      <c r="AG95">
        <v>166.8</v>
      </c>
      <c r="AH95">
        <v>175.3</v>
      </c>
      <c r="AJ95" s="49" t="s">
        <v>23</v>
      </c>
      <c r="AK95" s="50">
        <f>CORREL($B$4:$B$32,Table273031[Health])</f>
        <v>0.61222926936078703</v>
      </c>
    </row>
    <row r="96" spans="1:37" x14ac:dyDescent="0.35">
      <c r="A96" s="44">
        <v>44866</v>
      </c>
      <c r="B96" s="45">
        <v>100258.75918442282</v>
      </c>
      <c r="E96" t="s">
        <v>33</v>
      </c>
      <c r="F96">
        <v>2022</v>
      </c>
      <c r="G96" t="s">
        <v>45</v>
      </c>
      <c r="H96">
        <v>168.4</v>
      </c>
      <c r="I96">
        <v>213.4</v>
      </c>
      <c r="J96">
        <v>183.2</v>
      </c>
      <c r="K96">
        <v>172.3</v>
      </c>
      <c r="L96">
        <v>180</v>
      </c>
      <c r="M96">
        <v>162.6</v>
      </c>
      <c r="N96">
        <v>205.5</v>
      </c>
      <c r="O96">
        <v>171</v>
      </c>
      <c r="P96">
        <v>123.4</v>
      </c>
      <c r="Q96">
        <v>198.8</v>
      </c>
      <c r="R96">
        <v>162.1</v>
      </c>
      <c r="S96">
        <v>192.4</v>
      </c>
      <c r="T96">
        <v>181.3</v>
      </c>
      <c r="U96">
        <v>200.6</v>
      </c>
      <c r="V96">
        <v>176.7</v>
      </c>
      <c r="W96">
        <v>163.5</v>
      </c>
      <c r="X96">
        <v>174.7</v>
      </c>
      <c r="Y96">
        <v>171.8</v>
      </c>
      <c r="Z96">
        <v>180.3</v>
      </c>
      <c r="AA96">
        <v>166.9</v>
      </c>
      <c r="AB96">
        <v>175.8</v>
      </c>
      <c r="AC96">
        <v>158.9</v>
      </c>
      <c r="AD96">
        <v>166.7</v>
      </c>
      <c r="AE96">
        <v>171.5</v>
      </c>
      <c r="AF96">
        <v>173.8</v>
      </c>
      <c r="AG96">
        <v>167.4</v>
      </c>
      <c r="AH96">
        <v>174.1</v>
      </c>
      <c r="AJ96" s="49" t="s">
        <v>24</v>
      </c>
      <c r="AK96" s="50">
        <f>CORREL($B$4:$B$32,Table273031[Transport and communication])</f>
        <v>0.7792401520847505</v>
      </c>
    </row>
    <row r="97" spans="1:37" x14ac:dyDescent="0.35">
      <c r="A97" s="46">
        <v>44896</v>
      </c>
      <c r="B97" s="45">
        <v>94253.237400611397</v>
      </c>
      <c r="E97" t="s">
        <v>33</v>
      </c>
      <c r="F97">
        <v>2022</v>
      </c>
      <c r="G97" t="s">
        <v>46</v>
      </c>
      <c r="H97">
        <v>170.2</v>
      </c>
      <c r="I97">
        <v>212.9</v>
      </c>
      <c r="J97">
        <v>191.9</v>
      </c>
      <c r="K97">
        <v>173.9</v>
      </c>
      <c r="L97">
        <v>179.1</v>
      </c>
      <c r="M97">
        <v>159.5</v>
      </c>
      <c r="N97">
        <v>178.7</v>
      </c>
      <c r="O97">
        <v>171.3</v>
      </c>
      <c r="P97">
        <v>123.1</v>
      </c>
      <c r="Q97">
        <v>200.5</v>
      </c>
      <c r="R97">
        <v>162.80000000000001</v>
      </c>
      <c r="S97">
        <v>193.3</v>
      </c>
      <c r="T97">
        <v>178.6</v>
      </c>
      <c r="U97">
        <v>201.1</v>
      </c>
      <c r="V97">
        <v>177.7</v>
      </c>
      <c r="W97">
        <v>164.5</v>
      </c>
      <c r="X97">
        <v>175.7</v>
      </c>
      <c r="Y97">
        <v>170.7</v>
      </c>
      <c r="Z97">
        <v>180.6</v>
      </c>
      <c r="AA97">
        <v>167.3</v>
      </c>
      <c r="AB97">
        <v>177.2</v>
      </c>
      <c r="AC97">
        <v>159.4</v>
      </c>
      <c r="AD97">
        <v>167.1</v>
      </c>
      <c r="AE97">
        <v>171.8</v>
      </c>
      <c r="AF97">
        <v>176</v>
      </c>
      <c r="AG97">
        <v>168.2</v>
      </c>
      <c r="AH97">
        <v>174.1</v>
      </c>
      <c r="AJ97" s="49" t="s">
        <v>25</v>
      </c>
      <c r="AK97" s="50">
        <f>CORREL($B$4:$B$32,Table273031[Recreation and amusement])</f>
        <v>0.74442042955172638</v>
      </c>
    </row>
    <row r="98" spans="1:37" x14ac:dyDescent="0.35">
      <c r="A98" s="44">
        <v>44927</v>
      </c>
      <c r="B98" s="45">
        <v>92441.854830099124</v>
      </c>
      <c r="E98" t="s">
        <v>33</v>
      </c>
      <c r="F98">
        <v>2023</v>
      </c>
      <c r="G98" t="s">
        <v>31</v>
      </c>
      <c r="H98">
        <v>173.3</v>
      </c>
      <c r="I98">
        <v>215.2</v>
      </c>
      <c r="J98">
        <v>197</v>
      </c>
      <c r="K98">
        <v>175.2</v>
      </c>
      <c r="L98">
        <v>178</v>
      </c>
      <c r="M98">
        <v>160.5</v>
      </c>
      <c r="N98">
        <v>175.3</v>
      </c>
      <c r="O98">
        <v>171.2</v>
      </c>
      <c r="P98">
        <v>122.7</v>
      </c>
      <c r="Q98">
        <v>204.3</v>
      </c>
      <c r="R98">
        <v>163.69999999999999</v>
      </c>
      <c r="S98">
        <v>194.3</v>
      </c>
      <c r="T98">
        <v>179.5</v>
      </c>
      <c r="U98">
        <v>201.6</v>
      </c>
      <c r="V98">
        <v>178.7</v>
      </c>
      <c r="W98">
        <v>165.3</v>
      </c>
      <c r="X98">
        <v>176.6</v>
      </c>
      <c r="Y98">
        <v>172.1</v>
      </c>
      <c r="Z98">
        <v>180.1</v>
      </c>
      <c r="AA98">
        <v>168</v>
      </c>
      <c r="AB98">
        <v>178.5</v>
      </c>
      <c r="AC98">
        <v>159.5</v>
      </c>
      <c r="AD98">
        <v>167.8</v>
      </c>
      <c r="AE98">
        <v>171.8</v>
      </c>
      <c r="AF98">
        <v>178.8</v>
      </c>
      <c r="AG98">
        <v>168.9</v>
      </c>
      <c r="AH98">
        <v>174.9</v>
      </c>
      <c r="AJ98" s="49" t="s">
        <v>26</v>
      </c>
      <c r="AK98" s="50">
        <f>CORREL($B$4:$B$32,Table273031[Education])</f>
        <v>0.60169210442604004</v>
      </c>
    </row>
    <row r="99" spans="1:37" x14ac:dyDescent="0.35">
      <c r="A99" s="46">
        <v>44958</v>
      </c>
      <c r="B99" s="45">
        <v>85798.258921224522</v>
      </c>
      <c r="E99" t="s">
        <v>33</v>
      </c>
      <c r="F99">
        <v>2023</v>
      </c>
      <c r="G99" t="s">
        <v>35</v>
      </c>
      <c r="H99">
        <v>174.7</v>
      </c>
      <c r="I99">
        <v>212.2</v>
      </c>
      <c r="J99">
        <v>177.2</v>
      </c>
      <c r="K99">
        <v>177.9</v>
      </c>
      <c r="L99">
        <v>172.2</v>
      </c>
      <c r="M99">
        <v>172.1</v>
      </c>
      <c r="N99">
        <v>175.8</v>
      </c>
      <c r="O99">
        <v>172.2</v>
      </c>
      <c r="P99">
        <v>121.9</v>
      </c>
      <c r="Q99">
        <v>204.8</v>
      </c>
      <c r="R99">
        <v>164.9</v>
      </c>
      <c r="S99">
        <v>196.6</v>
      </c>
      <c r="T99">
        <v>180.7</v>
      </c>
      <c r="U99">
        <v>202.7</v>
      </c>
      <c r="V99">
        <v>180.3</v>
      </c>
      <c r="W99">
        <v>167</v>
      </c>
      <c r="X99">
        <v>178.2</v>
      </c>
      <c r="Y99">
        <v>173.5</v>
      </c>
      <c r="Z99">
        <v>182.8</v>
      </c>
      <c r="AA99">
        <v>169.2</v>
      </c>
      <c r="AB99">
        <v>180.8</v>
      </c>
      <c r="AC99">
        <v>159.80000000000001</v>
      </c>
      <c r="AD99">
        <v>168.4</v>
      </c>
      <c r="AE99">
        <v>172.5</v>
      </c>
      <c r="AF99">
        <v>181.4</v>
      </c>
      <c r="AG99">
        <v>170</v>
      </c>
      <c r="AH99">
        <v>176.3</v>
      </c>
      <c r="AJ99" s="49" t="s">
        <v>27</v>
      </c>
      <c r="AK99" s="50">
        <f>CORREL($B$4:$B$32,Table273031[Personal care and effects])</f>
        <v>0.54934940851838032</v>
      </c>
    </row>
    <row r="100" spans="1:37" x14ac:dyDescent="0.35">
      <c r="A100" s="44">
        <v>44986</v>
      </c>
      <c r="B100" s="45">
        <v>89613.478577777831</v>
      </c>
      <c r="E100" t="s">
        <v>33</v>
      </c>
      <c r="F100">
        <v>2023</v>
      </c>
      <c r="G100" t="s">
        <v>36</v>
      </c>
      <c r="H100">
        <v>174.7</v>
      </c>
      <c r="I100">
        <v>212.2</v>
      </c>
      <c r="J100">
        <v>177.2</v>
      </c>
      <c r="K100">
        <v>177.9</v>
      </c>
      <c r="L100">
        <v>172.2</v>
      </c>
      <c r="M100">
        <v>172.1</v>
      </c>
      <c r="N100">
        <v>175.9</v>
      </c>
      <c r="O100">
        <v>172.2</v>
      </c>
      <c r="P100">
        <v>121.9</v>
      </c>
      <c r="Q100">
        <v>204.8</v>
      </c>
      <c r="R100">
        <v>164.9</v>
      </c>
      <c r="S100">
        <v>196.6</v>
      </c>
      <c r="T100">
        <v>180.8</v>
      </c>
      <c r="U100">
        <v>202.7</v>
      </c>
      <c r="V100">
        <v>180.2</v>
      </c>
      <c r="W100">
        <v>167</v>
      </c>
      <c r="X100">
        <v>178.2</v>
      </c>
      <c r="Y100">
        <v>173.5</v>
      </c>
      <c r="Z100">
        <v>182.6</v>
      </c>
      <c r="AA100">
        <v>169.2</v>
      </c>
      <c r="AB100">
        <v>180.8</v>
      </c>
      <c r="AC100">
        <v>159.80000000000001</v>
      </c>
      <c r="AD100">
        <v>168.4</v>
      </c>
      <c r="AE100">
        <v>172.5</v>
      </c>
      <c r="AF100">
        <v>181.5</v>
      </c>
      <c r="AG100">
        <v>170</v>
      </c>
      <c r="AH100">
        <v>176.3</v>
      </c>
      <c r="AJ100" s="49" t="s">
        <v>28</v>
      </c>
      <c r="AK100" s="50">
        <f>CORREL($B$4:$B$32,Table273031[Miscellaneous])</f>
        <v>0.68823110932119735</v>
      </c>
    </row>
    <row r="101" spans="1:37" x14ac:dyDescent="0.35">
      <c r="A101" s="46">
        <v>45017</v>
      </c>
      <c r="B101" s="45">
        <v>89035.978544082594</v>
      </c>
      <c r="E101" t="s">
        <v>33</v>
      </c>
      <c r="F101">
        <v>2023</v>
      </c>
      <c r="G101" t="s">
        <v>37</v>
      </c>
      <c r="H101">
        <v>174.8</v>
      </c>
      <c r="I101">
        <v>213.7</v>
      </c>
      <c r="J101">
        <v>172.4</v>
      </c>
      <c r="K101">
        <v>178.8</v>
      </c>
      <c r="L101">
        <v>168.7</v>
      </c>
      <c r="M101">
        <v>179.2</v>
      </c>
      <c r="N101">
        <v>179.9</v>
      </c>
      <c r="O101">
        <v>174.7</v>
      </c>
      <c r="P101">
        <v>123.1</v>
      </c>
      <c r="Q101">
        <v>207.8</v>
      </c>
      <c r="R101">
        <v>165.5</v>
      </c>
      <c r="S101">
        <v>197</v>
      </c>
      <c r="T101">
        <v>182.1</v>
      </c>
      <c r="U101">
        <v>203.5</v>
      </c>
      <c r="V101">
        <v>181</v>
      </c>
      <c r="W101">
        <v>167.7</v>
      </c>
      <c r="X101">
        <v>178.9</v>
      </c>
      <c r="Y101">
        <v>175.2</v>
      </c>
      <c r="Z101">
        <v>182.1</v>
      </c>
      <c r="AA101">
        <v>169.6</v>
      </c>
      <c r="AB101">
        <v>181.5</v>
      </c>
      <c r="AC101">
        <v>160.1</v>
      </c>
      <c r="AD101">
        <v>168.8</v>
      </c>
      <c r="AE101">
        <v>174.2</v>
      </c>
      <c r="AF101">
        <v>184.4</v>
      </c>
      <c r="AG101">
        <v>170.9</v>
      </c>
      <c r="AH101">
        <v>177.4</v>
      </c>
      <c r="AK101" s="48"/>
    </row>
    <row r="102" spans="1:37" x14ac:dyDescent="0.35">
      <c r="A102" s="47">
        <v>45047</v>
      </c>
      <c r="B102" s="35">
        <v>87955.310700035101</v>
      </c>
      <c r="E102" t="s">
        <v>33</v>
      </c>
      <c r="F102">
        <v>2023</v>
      </c>
      <c r="G102" t="s">
        <v>38</v>
      </c>
      <c r="H102">
        <v>174.7</v>
      </c>
      <c r="I102">
        <v>219.4</v>
      </c>
      <c r="J102">
        <v>176.7</v>
      </c>
      <c r="K102">
        <v>179.4</v>
      </c>
      <c r="L102">
        <v>164.4</v>
      </c>
      <c r="M102">
        <v>175.8</v>
      </c>
      <c r="N102">
        <v>185</v>
      </c>
      <c r="O102">
        <v>176.9</v>
      </c>
      <c r="P102">
        <v>124.2</v>
      </c>
      <c r="Q102">
        <v>211.9</v>
      </c>
      <c r="R102">
        <v>165.9</v>
      </c>
      <c r="S102">
        <v>197.7</v>
      </c>
      <c r="T102">
        <v>183.1</v>
      </c>
      <c r="U102">
        <v>204.2</v>
      </c>
      <c r="V102">
        <v>181.3</v>
      </c>
      <c r="W102">
        <v>168.1</v>
      </c>
      <c r="X102">
        <v>179.3</v>
      </c>
      <c r="Y102">
        <v>175.6</v>
      </c>
      <c r="Z102">
        <v>183.4</v>
      </c>
      <c r="AA102">
        <v>170.1</v>
      </c>
      <c r="AB102">
        <v>182.2</v>
      </c>
      <c r="AC102">
        <v>160.4</v>
      </c>
      <c r="AD102">
        <v>169.2</v>
      </c>
      <c r="AE102">
        <v>174.8</v>
      </c>
      <c r="AF102">
        <v>185.6</v>
      </c>
      <c r="AG102">
        <v>171.6</v>
      </c>
      <c r="AH102">
        <v>178.2</v>
      </c>
    </row>
    <row r="103" spans="1:37" x14ac:dyDescent="0.35">
      <c r="H103">
        <f>CORREL($B$4:$B$32,Table273031[Cereals and products])</f>
        <v>0.45538609975839106</v>
      </c>
      <c r="I103">
        <f>CORREL($B$4:$B$32,Table273031[Meat and fish])</f>
        <v>0.8045457788487097</v>
      </c>
      <c r="J103">
        <f>CORREL($B$4:$B$32,Table273031[Egg])</f>
        <v>-0.12833852563272455</v>
      </c>
      <c r="K103">
        <f>CORREL($B$4:$B$32,Table273031[Milk and products])</f>
        <v>0.5284342688088528</v>
      </c>
      <c r="L103">
        <f>CORREL($B$4:$B$32,Table273031[Oils and fats])</f>
        <v>0.80187485253185664</v>
      </c>
      <c r="M103">
        <f>CORREL($B$4:$B$32,Table273031[Fruits])</f>
        <v>0.47642703323343649</v>
      </c>
      <c r="N103">
        <f>CORREL($B$4:$B$32,Table273031[Vegetables])</f>
        <v>0.39180689360902327</v>
      </c>
      <c r="O103">
        <f>CORREL($B$4:$B$32,Table273031[Pulses and products])</f>
        <v>0.20815438829385743</v>
      </c>
      <c r="P103">
        <f>CORREL($B$4:$B$32,Table273031[Sugar and Confectionery])</f>
        <v>0.63052410879840137</v>
      </c>
      <c r="Q103">
        <f>CORREL($B$4:$B$32,Table273031[Spices])</f>
        <v>0.51883963801221433</v>
      </c>
      <c r="R103">
        <f>CORREL($B$4:$B$32,Table273031[Non-alcoholic beverages])</f>
        <v>0.6153907046364927</v>
      </c>
      <c r="S103">
        <f>CORREL($B$4:$B$32,Table273031[Prepared meals, snacks, sweets etc.])</f>
        <v>0.63429072721532864</v>
      </c>
      <c r="T103">
        <f>CORREL($B$4:$B$32,Table273031[Food and beverages])</f>
        <v>0.72163561745751315</v>
      </c>
      <c r="U103">
        <f>CORREL($B$4:$B$32,Table273031[Pan, tobacco and intoxicants])</f>
        <v>0.46541929009830146</v>
      </c>
      <c r="V103">
        <f>CORREL($B$4:$B$32,Table273031[Clothing])</f>
        <v>0.66354626031960373</v>
      </c>
      <c r="W103">
        <f>CORREL($B$4:$B$32,Table273031[Footwear])</f>
        <v>0.67083005998541601</v>
      </c>
      <c r="X103">
        <f>CORREL($B$4:$B$32,Table273031[Clothing and footwear])</f>
        <v>0.66487146299807087</v>
      </c>
      <c r="Y103">
        <f>CORREL($B$4:$B$32,Table273031[Housing])</f>
        <v>0.58648079304588541</v>
      </c>
      <c r="Z103">
        <f>CORREL($B$4:$B$32,Table273031[Fuel and light])</f>
        <v>0.70302993210789277</v>
      </c>
      <c r="AA103">
        <f>CORREL($B$4:$B$32,Table273031[Household goods and services])</f>
        <v>0.67570433777840666</v>
      </c>
      <c r="AB103">
        <f>CORREL($B$4:$B$32,Table273031[Health])</f>
        <v>0.61222926936078703</v>
      </c>
      <c r="AC103">
        <f>CORREL($B$4:$B$32,Table273031[Transport and communication])</f>
        <v>0.7792401520847505</v>
      </c>
      <c r="AD103">
        <f>CORREL($B$4:$B$32,Table273031[Recreation and amusement])</f>
        <v>0.74442042955172638</v>
      </c>
      <c r="AE103">
        <f>CORREL($B$4:$B$32,Table273031[Education])</f>
        <v>0.60169210442604004</v>
      </c>
      <c r="AF103">
        <f>CORREL($B$4:$B$32,Table273031[Personal care and effects])</f>
        <v>0.54934940851838032</v>
      </c>
      <c r="AG103">
        <f>CORREL($B$4:$B$32,Table273031[Miscellaneous])</f>
        <v>0.68823110932119735</v>
      </c>
      <c r="AH103">
        <f>CORREL($B$4:$B$32,Table273031[General index])</f>
        <v>0.69305652292590536</v>
      </c>
    </row>
  </sheetData>
  <mergeCells count="6">
    <mergeCell ref="AJ73:AK74"/>
    <mergeCell ref="A2:B2"/>
    <mergeCell ref="AJ3:AK4"/>
    <mergeCell ref="A37:B37"/>
    <mergeCell ref="AJ38:AK39"/>
    <mergeCell ref="A72:B72"/>
  </mergeCells>
  <phoneticPr fontId="18" type="noConversion"/>
  <conditionalFormatting sqref="AK5:AK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0:AK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5:AK1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91F6-32C3-4228-87ED-6B12B3166BDA}">
  <dimension ref="A1"/>
  <sheetViews>
    <sheetView topLeftCell="A89" zoomScale="85" zoomScaleNormal="85" workbookViewId="0">
      <selection activeCell="R85" sqref="R8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India CPI Inflation Case Study</vt:lpstr>
      <vt:lpstr>Question-1</vt:lpstr>
      <vt:lpstr>Question-2</vt:lpstr>
      <vt:lpstr>Question-3(a)</vt:lpstr>
      <vt:lpstr>Question-3(b)</vt:lpstr>
      <vt:lpstr>Question-4</vt:lpstr>
      <vt:lpstr>Question-5 Data</vt:lpstr>
      <vt:lpstr>Question-5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Achal Jangade</cp:lastModifiedBy>
  <dcterms:created xsi:type="dcterms:W3CDTF">2026-02-09T09:08:10Z</dcterms:created>
  <dcterms:modified xsi:type="dcterms:W3CDTF">2026-10-30T06:32:57Z</dcterms:modified>
</cp:coreProperties>
</file>